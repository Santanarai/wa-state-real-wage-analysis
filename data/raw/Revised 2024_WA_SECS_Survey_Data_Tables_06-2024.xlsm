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9.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ofm.wa.lcl\OFM\SHR\ECCHRA\Surveys_and_Studies\SURVEYS\Surveys_Conducted\1_State_Salary_Survey\2024_State_Survey_WSECS\Web_docs\"/>
    </mc:Choice>
  </mc:AlternateContent>
  <xr:revisionPtr revIDLastSave="0" documentId="13_ncr:1_{5EF6F6B6-8B0E-46AD-A915-28B418742AFC}" xr6:coauthVersionLast="47" xr6:coauthVersionMax="47" xr10:uidLastSave="{00000000-0000-0000-0000-000000000000}"/>
  <bookViews>
    <workbookView xWindow="-120" yWindow="-120" windowWidth="29040" windowHeight="15840" tabRatio="775" xr2:uid="{00000000-000D-0000-FFFF-FFFF00000000}"/>
  </bookViews>
  <sheets>
    <sheet name="Table of Contents" sheetId="32" r:id="rId1"/>
    <sheet name="Benchmark Summaries" sheetId="42" r:id="rId2"/>
    <sheet name="Pay Rates by Benchmark" sheetId="67" r:id="rId3"/>
    <sheet name="Comparison with 2022" sheetId="68" r:id="rId4"/>
    <sheet name="Pay Plan Types" sheetId="69" r:id="rId5"/>
    <sheet name="Pay Scale Adjustments" sheetId="70" r:id="rId6"/>
    <sheet name="Shift Diff &amp; Call-Back Pay" sheetId="71" r:id="rId7"/>
    <sheet name="Performance &amp; Incentive Pay" sheetId="72" r:id="rId8"/>
    <sheet name="Paid Leave" sheetId="73" r:id="rId9"/>
    <sheet name="Ret and Health Benefits" sheetId="74" r:id="rId10"/>
    <sheet name="Modern Work Environment" sheetId="75" r:id="rId11"/>
    <sheet name="Employee Engagement" sheetId="78" r:id="rId12"/>
    <sheet name="Survey Participants" sheetId="55" r:id="rId13"/>
  </sheets>
  <definedNames>
    <definedName name="_xlnm._FilterDatabase" localSheetId="12" hidden="1">'Survey Participants'!$B$3:$D$3</definedName>
    <definedName name="AnnuityFactors" localSheetId="3">#REF!</definedName>
    <definedName name="AnnuityFactors" localSheetId="11">#REF!</definedName>
    <definedName name="AnnuityFactors" localSheetId="4">#REF!</definedName>
    <definedName name="AnnuityFactors" localSheetId="2">#REF!</definedName>
    <definedName name="AnnuityFactors" localSheetId="5">#REF!</definedName>
    <definedName name="AnnuityFactors">#REF!</definedName>
    <definedName name="AnnuityFactorsCOLAs" localSheetId="3">#REF!</definedName>
    <definedName name="AnnuityFactorsCOLAs" localSheetId="11">#REF!</definedName>
    <definedName name="AnnuityFactorsCOLAs" localSheetId="4">#REF!</definedName>
    <definedName name="AnnuityFactorsCOLAs" localSheetId="2">#REF!</definedName>
    <definedName name="AnnuityFactorsCOLAs" localSheetId="5">#REF!</definedName>
    <definedName name="AnnuityFactorsCOLAs">#REF!</definedName>
    <definedName name="AnnuityFactorsNRAs" localSheetId="3">#REF!</definedName>
    <definedName name="AnnuityFactorsNRAs" localSheetId="11">#REF!</definedName>
    <definedName name="AnnuityFactorsNRAs" localSheetId="4">#REF!</definedName>
    <definedName name="AnnuityFactorsNRAs" localSheetId="2">#REF!</definedName>
    <definedName name="AnnuityFactorsNRAs" localSheetId="5">#REF!</definedName>
    <definedName name="AnnuityFactorsNRAs">#REF!</definedName>
    <definedName name="Benchmark_List_Table" localSheetId="3">#REF!</definedName>
    <definedName name="Benchmark_List_Table" localSheetId="11">#REF!</definedName>
    <definedName name="Benchmark_List_Table" localSheetId="4">#REF!</definedName>
    <definedName name="Benchmark_List_Table" localSheetId="2">#REF!</definedName>
    <definedName name="Benchmark_List_Table" localSheetId="5">#REF!</definedName>
    <definedName name="Benchmark_List_Table">#REF!</definedName>
    <definedName name="Benchmark_Matches" localSheetId="3">#REF!</definedName>
    <definedName name="Benchmark_Matches" localSheetId="11">#REF!</definedName>
    <definedName name="Benchmark_Matches" localSheetId="4">#REF!</definedName>
    <definedName name="Benchmark_Matches" localSheetId="2">#REF!</definedName>
    <definedName name="Benchmark_Matches" localSheetId="5">#REF!</definedName>
    <definedName name="Benchmark_Matches">#REF!</definedName>
    <definedName name="Benchmark_Matches_Participants">#REF!</definedName>
    <definedName name="Benchmark_MatchesForMacro" localSheetId="3">#REF!</definedName>
    <definedName name="Benchmark_MatchesForMacro" localSheetId="11">#REF!</definedName>
    <definedName name="Benchmark_MatchesForMacro" localSheetId="4">#REF!</definedName>
    <definedName name="Benchmark_MatchesForMacro" localSheetId="2">#REF!</definedName>
    <definedName name="Benchmark_MatchesForMacro" localSheetId="5">#REF!</definedName>
    <definedName name="Benchmark_MatchesForMacro">#REF!</definedName>
    <definedName name="BenchmarkAnalysisEMV">#REF!</definedName>
    <definedName name="BenchmarkAnalysisMatchCount" localSheetId="3">#REF!</definedName>
    <definedName name="BenchmarkAnalysisMatchCount" localSheetId="11">#REF!</definedName>
    <definedName name="BenchmarkAnalysisMatchCount" localSheetId="4">#REF!</definedName>
    <definedName name="BenchmarkAnalysisMatchCount" localSheetId="2">#REF!</definedName>
    <definedName name="BenchmarkAnalysisMatchCount" localSheetId="5">#REF!</definedName>
    <definedName name="BenchmarkAnalysisMatchCount">#REF!</definedName>
    <definedName name="BenchmarkChartTable">#REF!</definedName>
    <definedName name="BenchmarkHeadings" localSheetId="3">#REF!</definedName>
    <definedName name="BenchmarkHeadings" localSheetId="11">#REF!</definedName>
    <definedName name="BenchmarkHeadings" localSheetId="4">#REF!</definedName>
    <definedName name="BenchmarkHeadings" localSheetId="2">#REF!</definedName>
    <definedName name="BenchmarkHeadings" localSheetId="5">#REF!</definedName>
    <definedName name="BenchmarkHeadings">#REF!</definedName>
    <definedName name="BenchmarkMatchesIncRetire" localSheetId="3">#REF!</definedName>
    <definedName name="BenchmarkMatchesIncRetire" localSheetId="11">#REF!</definedName>
    <definedName name="BenchmarkMatchesIncRetire" localSheetId="4">#REF!</definedName>
    <definedName name="BenchmarkMatchesIncRetire" localSheetId="2">#REF!</definedName>
    <definedName name="BenchmarkMatchesIncRetire" localSheetId="5">#REF!</definedName>
    <definedName name="BenchmarkMatchesIncRetire">#REF!</definedName>
    <definedName name="BenchmarkNumber" localSheetId="3">#REF!</definedName>
    <definedName name="BenchmarkNumber" localSheetId="11">#REF!</definedName>
    <definedName name="BenchmarkNumber" localSheetId="4">#REF!</definedName>
    <definedName name="BenchmarkNumber" localSheetId="2">#REF!</definedName>
    <definedName name="BenchmarkNumber" localSheetId="5">#REF!</definedName>
    <definedName name="BenchmarkNumber">#REF!</definedName>
    <definedName name="BenchmarkSubHeadings">#REF!</definedName>
    <definedName name="BenchmarkSummary_Data">#REF!</definedName>
    <definedName name="BenchmarkTitleList">#REF!</definedName>
    <definedName name="BenchmarkTitles" localSheetId="3">#REF!</definedName>
    <definedName name="BenchmarkTitles" localSheetId="11">#REF!</definedName>
    <definedName name="BenchmarkTitles" localSheetId="4">#REF!</definedName>
    <definedName name="BenchmarkTitles" localSheetId="2">#REF!</definedName>
    <definedName name="BenchmarkTitles" localSheetId="5">#REF!</definedName>
    <definedName name="BenchmarkTitles">#REF!</definedName>
    <definedName name="BoundDifference">#REF!</definedName>
    <definedName name="DataAuditingSalaryMax">#REF!</definedName>
    <definedName name="DataAuditingSalaryMin">#REF!</definedName>
    <definedName name="HealthBftValues" localSheetId="3">#REF!</definedName>
    <definedName name="HealthBftValues" localSheetId="11">#REF!</definedName>
    <definedName name="HealthBftValues" localSheetId="4">#REF!</definedName>
    <definedName name="HealthBftValues" localSheetId="2">#REF!</definedName>
    <definedName name="HealthBftValues" localSheetId="5">#REF!</definedName>
    <definedName name="HealthBftValues">#REF!</definedName>
    <definedName name="In_State_Public_Sector_Orgs" localSheetId="3">#REF!</definedName>
    <definedName name="In_State_Public_Sector_Orgs" localSheetId="11">#REF!</definedName>
    <definedName name="In_State_Public_Sector_Orgs" localSheetId="4">#REF!</definedName>
    <definedName name="In_State_Public_Sector_Orgs" localSheetId="2">#REF!</definedName>
    <definedName name="In_State_Public_Sector_Orgs" localSheetId="5">#REF!</definedName>
    <definedName name="In_State_Public_Sector_Orgs">#REF!</definedName>
    <definedName name="InStatePrivMatches">#REF!</definedName>
    <definedName name="InStatePubMatches">#REF!</definedName>
    <definedName name="JobTitleOnly" localSheetId="3">#REF!</definedName>
    <definedName name="JobTitleOnly" localSheetId="11">#REF!</definedName>
    <definedName name="JobTitleOnly" localSheetId="4">#REF!</definedName>
    <definedName name="JobTitleOnly" localSheetId="2">#REF!</definedName>
    <definedName name="JobTitleOnly" localSheetId="5">#REF!</definedName>
    <definedName name="JobTitleOnly">#REF!</definedName>
    <definedName name="JobTitlesList">#REF!</definedName>
    <definedName name="ListofLocations" localSheetId="3">#REF!</definedName>
    <definedName name="ListofLocations" localSheetId="11">#REF!</definedName>
    <definedName name="ListofLocations" localSheetId="4">#REF!</definedName>
    <definedName name="ListofLocations" localSheetId="2">#REF!</definedName>
    <definedName name="ListofLocations" localSheetId="5">#REF!</definedName>
    <definedName name="ListofLocations">#REF!</definedName>
    <definedName name="LowerBound">#REF!</definedName>
    <definedName name="MarketSegmentChartData">#REF!</definedName>
    <definedName name="_xlnm.Print_Area" localSheetId="1">'Benchmark Summaries'!$B$2:$H$953</definedName>
    <definedName name="_xlnm.Print_Area" localSheetId="3">'Comparison with 2022'!$A$1:$L$55</definedName>
    <definedName name="_xlnm.Print_Area" localSheetId="11">'Employee Engagement'!$A$1:$J$51</definedName>
    <definedName name="_xlnm.Print_Area" localSheetId="10">'Modern Work Environment'!$A$1:$K$10</definedName>
    <definedName name="_xlnm.Print_Area" localSheetId="8">'Paid Leave'!$A$1:$AX$61</definedName>
    <definedName name="_xlnm.Print_Area" localSheetId="2">'Pay Rates by Benchmark'!$A$1:$AI$55</definedName>
    <definedName name="_xlnm.Print_Area" localSheetId="5">'Pay Scale Adjustments'!$A$1:$AG$49</definedName>
    <definedName name="_xlnm.Print_Area" localSheetId="7">'Performance &amp; Incentive Pay'!$A$1:$T$48</definedName>
    <definedName name="_xlnm.Print_Area" localSheetId="9">'Ret and Health Benefits'!$A$1:$T$35</definedName>
    <definedName name="_xlnm.Print_Area" localSheetId="6">'Shift Diff &amp; Call-Back Pay'!$A$1:$AA$24</definedName>
    <definedName name="_xlnm.Print_Titles" localSheetId="1">'Benchmark Summaries'!$2:$3</definedName>
    <definedName name="Published_Data_Sources" localSheetId="3">#REF!</definedName>
    <definedName name="Published_Data_Sources" localSheetId="11">#REF!</definedName>
    <definedName name="Published_Data_Sources" localSheetId="4">#REF!</definedName>
    <definedName name="Published_Data_Sources" localSheetId="2">#REF!</definedName>
    <definedName name="Published_Data_Sources" localSheetId="5">#REF!</definedName>
    <definedName name="Published_Data_Sources">#REF!</definedName>
    <definedName name="Quart1">#REF!</definedName>
    <definedName name="Quart3">#REF!</definedName>
    <definedName name="State_Governments" localSheetId="3">#REF!</definedName>
    <definedName name="State_Governments" localSheetId="11">#REF!</definedName>
    <definedName name="State_Governments" localSheetId="4">#REF!</definedName>
    <definedName name="State_Governments" localSheetId="2">#REF!</definedName>
    <definedName name="State_Governments" localSheetId="5">#REF!</definedName>
    <definedName name="State_Governments">#REF!</definedName>
    <definedName name="StateAcronyms">#REF!</definedName>
    <definedName name="StateGovMatches">#REF!</definedName>
    <definedName name="Survey_Participant_List" localSheetId="3">#REF!</definedName>
    <definedName name="Survey_Participant_List" localSheetId="11">#REF!</definedName>
    <definedName name="Survey_Participant_List" localSheetId="4">#REF!</definedName>
    <definedName name="Survey_Participant_List" localSheetId="2">#REF!</definedName>
    <definedName name="Survey_Participant_List" localSheetId="5">#REF!</definedName>
    <definedName name="Survey_Participant_List">#REF!</definedName>
    <definedName name="Surveyed_Orgs" localSheetId="3">#REF!</definedName>
    <definedName name="Surveyed_Orgs" localSheetId="11">#REF!</definedName>
    <definedName name="Surveyed_Orgs" localSheetId="4">#REF!</definedName>
    <definedName name="Surveyed_Orgs" localSheetId="2">#REF!</definedName>
    <definedName name="Surveyed_Orgs" localSheetId="5">#REF!</definedName>
    <definedName name="Surveyed_Orgs">#REF!</definedName>
    <definedName name="UpperBound">#REF!</definedName>
    <definedName name="WABaseSala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12" i="68" l="1"/>
  <c r="K311" i="68"/>
  <c r="K310" i="68"/>
  <c r="K309" i="68"/>
  <c r="K308" i="68"/>
  <c r="K307" i="68"/>
  <c r="K306" i="68"/>
  <c r="K300" i="68"/>
  <c r="K299" i="68"/>
  <c r="K298" i="68"/>
  <c r="K297" i="68"/>
  <c r="K296" i="68"/>
  <c r="K295" i="68"/>
  <c r="K294" i="68"/>
  <c r="K293" i="68"/>
  <c r="K292" i="68"/>
  <c r="K291" i="68"/>
  <c r="K285" i="68"/>
  <c r="K284" i="68"/>
  <c r="K283" i="68"/>
  <c r="K277" i="68"/>
  <c r="K271" i="68"/>
  <c r="K270" i="68"/>
  <c r="K269" i="68"/>
  <c r="K268" i="68"/>
  <c r="K267" i="68"/>
  <c r="K266" i="68"/>
  <c r="K265" i="68"/>
  <c r="K264" i="68"/>
  <c r="K263" i="68"/>
  <c r="K262" i="68"/>
  <c r="K261" i="68"/>
  <c r="K260" i="68"/>
  <c r="K259" i="68"/>
  <c r="K258" i="68"/>
  <c r="K257" i="68"/>
  <c r="K256" i="68"/>
  <c r="K250" i="68"/>
  <c r="K249" i="68"/>
  <c r="K248" i="68"/>
  <c r="K247" i="68"/>
  <c r="K246" i="68"/>
  <c r="K245" i="68"/>
  <c r="K244" i="68"/>
  <c r="K243" i="68"/>
  <c r="K242" i="68"/>
  <c r="K241" i="68"/>
  <c r="K240" i="68"/>
  <c r="K239" i="68"/>
  <c r="K238" i="68"/>
  <c r="K237" i="68"/>
  <c r="K236" i="68"/>
  <c r="K235" i="68"/>
  <c r="K234" i="68"/>
  <c r="K233" i="68"/>
  <c r="K232" i="68"/>
  <c r="K231" i="68"/>
  <c r="K230" i="68"/>
  <c r="K229" i="68"/>
  <c r="K228" i="68"/>
  <c r="K227" i="68"/>
  <c r="K226" i="68"/>
  <c r="K225" i="68"/>
  <c r="K224" i="68"/>
  <c r="K223" i="68"/>
  <c r="K222" i="68"/>
  <c r="K221" i="68"/>
  <c r="K220" i="68"/>
  <c r="K219" i="68"/>
  <c r="K218" i="68"/>
  <c r="K217" i="68"/>
  <c r="K216" i="68"/>
  <c r="K210" i="68"/>
  <c r="K209" i="68"/>
  <c r="K208" i="68"/>
  <c r="K207" i="68"/>
  <c r="K206" i="68"/>
  <c r="K205" i="68"/>
  <c r="K204" i="68"/>
  <c r="K203" i="68"/>
  <c r="K202" i="68"/>
  <c r="K196" i="68"/>
  <c r="K195" i="68"/>
  <c r="K194" i="68"/>
  <c r="K193" i="68"/>
  <c r="K192" i="68"/>
  <c r="K191" i="68"/>
  <c r="K190" i="68"/>
  <c r="K189" i="68"/>
  <c r="K188" i="68"/>
  <c r="K187" i="68"/>
  <c r="K186" i="68"/>
  <c r="K185" i="68"/>
  <c r="K184" i="68"/>
  <c r="K183" i="68"/>
  <c r="K177" i="68"/>
  <c r="K176" i="68"/>
  <c r="K175" i="68"/>
  <c r="K174" i="68"/>
  <c r="K168" i="68"/>
  <c r="K167" i="68"/>
  <c r="K166" i="68"/>
  <c r="K165" i="68"/>
  <c r="K164" i="68"/>
  <c r="K163" i="68"/>
  <c r="K162" i="68"/>
  <c r="K161" i="68"/>
  <c r="K160" i="68"/>
  <c r="K159" i="68"/>
  <c r="K158" i="68"/>
  <c r="K157" i="68"/>
  <c r="K156" i="68"/>
  <c r="K155" i="68"/>
  <c r="K154" i="68"/>
  <c r="K153" i="68"/>
  <c r="K152" i="68"/>
  <c r="K151" i="68"/>
  <c r="K150" i="68"/>
  <c r="K149" i="68"/>
  <c r="K148" i="68"/>
  <c r="K147" i="68"/>
  <c r="K146" i="68"/>
  <c r="K145" i="68"/>
  <c r="K144" i="68"/>
  <c r="K143" i="68"/>
  <c r="K142" i="68"/>
  <c r="K141" i="68"/>
  <c r="K140" i="68"/>
  <c r="K139" i="68"/>
  <c r="K138" i="68"/>
  <c r="K137" i="68"/>
  <c r="K136" i="68"/>
  <c r="K135" i="68"/>
  <c r="K134" i="68"/>
  <c r="K133" i="68"/>
  <c r="K132" i="68"/>
  <c r="K131" i="68"/>
  <c r="K130" i="68"/>
  <c r="K129" i="68"/>
  <c r="K128" i="68"/>
  <c r="K127" i="68"/>
  <c r="K126" i="68"/>
  <c r="K125" i="68"/>
  <c r="K124" i="68"/>
  <c r="K123" i="68"/>
  <c r="K122" i="68"/>
  <c r="K121" i="68"/>
  <c r="K115" i="68"/>
  <c r="K114" i="68"/>
  <c r="K113" i="68"/>
  <c r="K112" i="68"/>
  <c r="K111" i="68"/>
  <c r="K110" i="68"/>
  <c r="K109" i="68"/>
  <c r="K108" i="68"/>
  <c r="K107" i="68"/>
  <c r="K106" i="68"/>
  <c r="K105" i="68"/>
  <c r="K104" i="68"/>
  <c r="K103" i="68"/>
  <c r="K102" i="68"/>
  <c r="K101" i="68"/>
  <c r="K95" i="68"/>
  <c r="K94" i="68"/>
  <c r="K93" i="68"/>
  <c r="K92" i="68"/>
  <c r="K91" i="68"/>
  <c r="K90" i="68"/>
  <c r="K85" i="68"/>
  <c r="K84" i="68"/>
  <c r="K83" i="68"/>
  <c r="K82" i="68"/>
  <c r="K81" i="68"/>
  <c r="K80" i="68"/>
  <c r="K79" i="68"/>
  <c r="K78" i="68"/>
  <c r="K77" i="68"/>
  <c r="K76" i="68"/>
  <c r="K75" i="68"/>
  <c r="K74" i="68"/>
  <c r="K73" i="68"/>
  <c r="K67" i="68"/>
  <c r="K66" i="68"/>
  <c r="K65" i="68"/>
  <c r="K64" i="68"/>
  <c r="K63" i="68"/>
  <c r="K62" i="68"/>
  <c r="K56" i="68"/>
  <c r="K55" i="68"/>
  <c r="K54" i="68"/>
  <c r="K53" i="68"/>
  <c r="K52" i="68"/>
  <c r="K51" i="68"/>
  <c r="K50" i="68"/>
  <c r="K49" i="68"/>
  <c r="K48" i="68"/>
  <c r="K47" i="68"/>
  <c r="K41" i="68"/>
  <c r="K40" i="68"/>
  <c r="K39" i="68"/>
  <c r="K38" i="68"/>
  <c r="K37" i="68"/>
  <c r="K36" i="68"/>
  <c r="K35" i="68"/>
  <c r="K34" i="68"/>
  <c r="K33" i="68"/>
  <c r="K32" i="68"/>
  <c r="K31" i="68"/>
  <c r="K30" i="68"/>
  <c r="K29" i="68"/>
  <c r="K28" i="68"/>
  <c r="K27" i="68"/>
  <c r="K26" i="68"/>
  <c r="K20" i="68"/>
  <c r="K19" i="68"/>
  <c r="K18" i="68"/>
  <c r="K17" i="68"/>
  <c r="K16" i="68"/>
  <c r="K15" i="68"/>
  <c r="K14" i="68"/>
  <c r="K13" i="68"/>
  <c r="K12" i="68"/>
  <c r="K11" i="68"/>
  <c r="K10" i="68"/>
  <c r="K9" i="68"/>
  <c r="K8" i="68"/>
  <c r="K7" i="68"/>
  <c r="K6" i="68"/>
  <c r="K5" i="68"/>
  <c r="K4" i="68"/>
  <c r="G4" i="68"/>
  <c r="G5" i="68"/>
  <c r="G6" i="68"/>
  <c r="G7" i="68"/>
  <c r="G8" i="68"/>
  <c r="G9" i="68"/>
  <c r="G10" i="68"/>
  <c r="G11" i="68"/>
  <c r="G12" i="68"/>
  <c r="G13" i="68"/>
  <c r="G14" i="68"/>
  <c r="G15" i="68"/>
  <c r="G16" i="68"/>
  <c r="G17" i="68"/>
  <c r="G18" i="68"/>
  <c r="G19" i="68"/>
  <c r="G20" i="68"/>
  <c r="G26" i="68"/>
  <c r="G27" i="68"/>
  <c r="G28" i="68"/>
  <c r="G29" i="68"/>
  <c r="G30" i="68"/>
  <c r="G31" i="68"/>
  <c r="G32" i="68"/>
  <c r="G33" i="68"/>
  <c r="G34" i="68"/>
  <c r="G35" i="68"/>
  <c r="G36" i="68"/>
  <c r="G37" i="68"/>
  <c r="G38" i="68"/>
  <c r="G39" i="68"/>
  <c r="G40" i="68"/>
  <c r="G41" i="68"/>
  <c r="G47" i="68"/>
  <c r="G48" i="68"/>
  <c r="G49" i="68"/>
  <c r="G50" i="68"/>
  <c r="G51" i="68"/>
  <c r="G52" i="68"/>
  <c r="G53" i="68"/>
  <c r="G54" i="68"/>
  <c r="G55" i="68"/>
  <c r="G56" i="68"/>
  <c r="G62" i="68"/>
  <c r="G63" i="68"/>
  <c r="G64" i="68"/>
  <c r="G65" i="68"/>
  <c r="G66" i="68"/>
  <c r="G67" i="68"/>
  <c r="G73" i="68"/>
  <c r="G74" i="68"/>
  <c r="G75" i="68"/>
  <c r="G76" i="68"/>
  <c r="G77" i="68"/>
  <c r="G78" i="68"/>
  <c r="G79" i="68"/>
  <c r="G80" i="68"/>
  <c r="G81" i="68"/>
  <c r="G82" i="68"/>
  <c r="G83" i="68"/>
  <c r="G84" i="68"/>
  <c r="G85" i="68"/>
  <c r="G90" i="68"/>
  <c r="G91" i="68"/>
  <c r="G92" i="68"/>
  <c r="G93" i="68"/>
  <c r="G94" i="68"/>
  <c r="G95" i="68"/>
  <c r="G101" i="68"/>
  <c r="G102" i="68"/>
  <c r="G103" i="68"/>
  <c r="G104" i="68"/>
  <c r="G105" i="68"/>
  <c r="G106" i="68"/>
  <c r="G107" i="68"/>
  <c r="G108" i="68"/>
  <c r="G109" i="68"/>
  <c r="G110" i="68"/>
  <c r="G111" i="68"/>
  <c r="G112" i="68"/>
  <c r="G113" i="68"/>
  <c r="G114" i="68"/>
  <c r="G115" i="68"/>
  <c r="G121" i="68"/>
  <c r="G122" i="68"/>
  <c r="G123" i="68"/>
  <c r="G124" i="68"/>
  <c r="G125" i="68"/>
  <c r="G126" i="68"/>
  <c r="G127" i="68"/>
  <c r="G128" i="68"/>
  <c r="G129" i="68"/>
  <c r="G130" i="68"/>
  <c r="G131" i="68"/>
  <c r="G132" i="68"/>
  <c r="G133" i="68"/>
  <c r="G134" i="68"/>
  <c r="G135" i="68"/>
  <c r="G136" i="68"/>
  <c r="G137" i="68"/>
  <c r="G138" i="68"/>
  <c r="G139" i="68"/>
  <c r="G140" i="68"/>
  <c r="G141" i="68"/>
  <c r="G142" i="68"/>
  <c r="G143" i="68"/>
  <c r="G144" i="68"/>
  <c r="G145" i="68"/>
  <c r="G146" i="68"/>
  <c r="G147" i="68"/>
  <c r="G148" i="68"/>
  <c r="G149" i="68"/>
  <c r="G150" i="68"/>
  <c r="G151" i="68"/>
  <c r="G152" i="68"/>
  <c r="G153" i="68"/>
  <c r="G154" i="68"/>
  <c r="G155" i="68"/>
  <c r="G156" i="68"/>
  <c r="G157" i="68"/>
  <c r="G158" i="68"/>
  <c r="G159" i="68"/>
  <c r="G160" i="68"/>
  <c r="G161" i="68"/>
  <c r="G162" i="68"/>
  <c r="G163" i="68"/>
  <c r="G164" i="68"/>
  <c r="G165" i="68"/>
  <c r="G166" i="68"/>
  <c r="G167" i="68"/>
  <c r="G168" i="68"/>
  <c r="G174" i="68"/>
  <c r="G175" i="68"/>
  <c r="G176" i="68"/>
  <c r="G177" i="68"/>
  <c r="G183" i="68"/>
  <c r="G184" i="68"/>
  <c r="G185" i="68"/>
  <c r="G186" i="68"/>
  <c r="G187" i="68"/>
  <c r="G188" i="68"/>
  <c r="G189" i="68"/>
  <c r="G190" i="68"/>
  <c r="G191" i="68"/>
  <c r="G192" i="68"/>
  <c r="G193" i="68"/>
  <c r="G194" i="68"/>
  <c r="G195" i="68"/>
  <c r="G196" i="68"/>
  <c r="G202" i="68"/>
  <c r="G203" i="68"/>
  <c r="G204" i="68"/>
  <c r="G205" i="68"/>
  <c r="G206" i="68"/>
  <c r="G207" i="68"/>
  <c r="G208" i="68"/>
  <c r="G209" i="68"/>
  <c r="G210" i="68"/>
  <c r="G216" i="68"/>
  <c r="G217" i="68"/>
  <c r="G218" i="68"/>
  <c r="G219" i="68"/>
  <c r="G220" i="68"/>
  <c r="G221" i="68"/>
  <c r="G222" i="68"/>
  <c r="G223" i="68"/>
  <c r="G224" i="68"/>
  <c r="G225" i="68"/>
  <c r="G226" i="68"/>
  <c r="G227" i="68"/>
  <c r="G228" i="68"/>
  <c r="G229" i="68"/>
  <c r="G230" i="68"/>
  <c r="G231" i="68"/>
  <c r="G232" i="68"/>
  <c r="G233" i="68"/>
  <c r="G234" i="68"/>
  <c r="G235" i="68"/>
  <c r="G236" i="68"/>
  <c r="G237" i="68"/>
  <c r="G238" i="68"/>
  <c r="G239" i="68"/>
  <c r="G240" i="68"/>
  <c r="G241" i="68"/>
  <c r="G242" i="68"/>
  <c r="G243" i="68"/>
  <c r="G244" i="68"/>
  <c r="G245" i="68"/>
  <c r="G246" i="68"/>
  <c r="G247" i="68"/>
  <c r="G248" i="68"/>
  <c r="G249" i="68"/>
  <c r="G250" i="68"/>
  <c r="G256" i="68"/>
  <c r="G257" i="68"/>
  <c r="G258" i="68"/>
  <c r="G259" i="68"/>
  <c r="G260" i="68"/>
  <c r="G261" i="68"/>
  <c r="G262" i="68"/>
  <c r="G263" i="68"/>
  <c r="G264" i="68"/>
  <c r="G265" i="68"/>
  <c r="G266" i="68"/>
  <c r="G267" i="68"/>
  <c r="G268" i="68"/>
  <c r="G269" i="68"/>
  <c r="G270" i="68"/>
  <c r="G271" i="68"/>
  <c r="G277" i="68"/>
  <c r="G283" i="68"/>
  <c r="G284" i="68"/>
  <c r="G285" i="68"/>
  <c r="G291" i="68"/>
  <c r="G292" i="68"/>
  <c r="G293" i="68"/>
  <c r="G294" i="68"/>
  <c r="G295" i="68"/>
  <c r="G296" i="68"/>
  <c r="G297" i="68"/>
  <c r="G298" i="68"/>
  <c r="G299" i="68"/>
  <c r="G300" i="68"/>
  <c r="G306" i="68"/>
  <c r="G307" i="68"/>
  <c r="G308" i="68"/>
  <c r="G309" i="68"/>
  <c r="G310" i="68"/>
  <c r="G311" i="68"/>
  <c r="G312" i="68"/>
  <c r="AH20" i="68"/>
  <c r="AG20" i="68"/>
  <c r="AF20" i="68"/>
  <c r="AE20" i="68"/>
  <c r="AB20" i="68"/>
  <c r="AA20" i="68"/>
  <c r="O270" i="68"/>
  <c r="O84" i="68"/>
  <c r="O249" i="68"/>
  <c r="AH248" i="68"/>
  <c r="AG248" i="68"/>
  <c r="AF248" i="68"/>
  <c r="AE248" i="68"/>
  <c r="AD248" i="68"/>
  <c r="AL248" i="68" s="1"/>
  <c r="AP248" i="68" s="1"/>
  <c r="AC248" i="68"/>
  <c r="AK248" i="68" s="1"/>
  <c r="AO248" i="68" s="1"/>
  <c r="AB248" i="68"/>
  <c r="AJ248" i="68" s="1"/>
  <c r="AN248" i="68" s="1"/>
  <c r="AA248" i="68"/>
  <c r="AI248" i="68" s="1"/>
  <c r="AM248" i="68" s="1"/>
  <c r="AH247" i="68"/>
  <c r="AG247" i="68"/>
  <c r="AF247" i="68"/>
  <c r="AE247" i="68"/>
  <c r="AD247" i="68"/>
  <c r="AL247" i="68" s="1"/>
  <c r="AP247" i="68" s="1"/>
  <c r="AC247" i="68"/>
  <c r="AK247" i="68" s="1"/>
  <c r="AO247" i="68" s="1"/>
  <c r="AB247" i="68"/>
  <c r="AJ247" i="68" s="1"/>
  <c r="AN247" i="68" s="1"/>
  <c r="AA247" i="68"/>
  <c r="AI247" i="68" s="1"/>
  <c r="AM247" i="68" s="1"/>
  <c r="AH246" i="68"/>
  <c r="AG246" i="68"/>
  <c r="AF246" i="68"/>
  <c r="AE246" i="68"/>
  <c r="AD246" i="68"/>
  <c r="AL246" i="68" s="1"/>
  <c r="AP246" i="68" s="1"/>
  <c r="AC246" i="68"/>
  <c r="AK246" i="68" s="1"/>
  <c r="AO246" i="68" s="1"/>
  <c r="AB246" i="68"/>
  <c r="AJ246" i="68" s="1"/>
  <c r="AN246" i="68" s="1"/>
  <c r="AA246" i="68"/>
  <c r="AI246" i="68" s="1"/>
  <c r="AM246" i="68" s="1"/>
  <c r="AH84" i="68"/>
  <c r="AH85" i="68" s="1"/>
  <c r="AG84" i="68"/>
  <c r="AG85" i="68" s="1"/>
  <c r="AF84" i="68"/>
  <c r="AF85" i="68" s="1"/>
  <c r="AE84" i="68"/>
  <c r="AE85" i="68" s="1"/>
  <c r="AD84" i="68"/>
  <c r="AL84" i="68" s="1"/>
  <c r="AP84" i="68" s="1"/>
  <c r="AC84" i="68"/>
  <c r="AB84" i="68"/>
  <c r="AA84" i="68"/>
  <c r="AI84" i="68" s="1"/>
  <c r="AM84" i="68" s="1"/>
  <c r="AA85" i="68" l="1"/>
  <c r="AJ84" i="68"/>
  <c r="AN84" i="68" s="1"/>
  <c r="AB85" i="68"/>
  <c r="AK84" i="68"/>
  <c r="AO84" i="68" s="1"/>
  <c r="AH311" i="68" l="1"/>
  <c r="AG311" i="68"/>
  <c r="AF311" i="68"/>
  <c r="AE311" i="68"/>
  <c r="AD311" i="68"/>
  <c r="AC311" i="68"/>
  <c r="AB311" i="68"/>
  <c r="AA311" i="68"/>
  <c r="AH310" i="68"/>
  <c r="AG310" i="68"/>
  <c r="AF310" i="68"/>
  <c r="AE310" i="68"/>
  <c r="AD310" i="68"/>
  <c r="AC310" i="68"/>
  <c r="AB310" i="68"/>
  <c r="AJ310" i="68" s="1"/>
  <c r="AN310" i="68" s="1"/>
  <c r="AA310" i="68"/>
  <c r="AI310" i="68" s="1"/>
  <c r="AM310" i="68" s="1"/>
  <c r="AH309" i="68"/>
  <c r="AG309" i="68"/>
  <c r="AF309" i="68"/>
  <c r="AE309" i="68"/>
  <c r="AD309" i="68"/>
  <c r="AC309" i="68"/>
  <c r="AK309" i="68" s="1"/>
  <c r="AO309" i="68" s="1"/>
  <c r="AB309" i="68"/>
  <c r="AJ309" i="68" s="1"/>
  <c r="AN309" i="68" s="1"/>
  <c r="AA309" i="68"/>
  <c r="AH308" i="68"/>
  <c r="AG308" i="68"/>
  <c r="AF308" i="68"/>
  <c r="AE308" i="68"/>
  <c r="AD308" i="68"/>
  <c r="AL308" i="68" s="1"/>
  <c r="AP308" i="68" s="1"/>
  <c r="AC308" i="68"/>
  <c r="AB308" i="68"/>
  <c r="AA308" i="68"/>
  <c r="AH307" i="68"/>
  <c r="AG307" i="68"/>
  <c r="AF307" i="68"/>
  <c r="AE307" i="68"/>
  <c r="AD307" i="68"/>
  <c r="AC307" i="68"/>
  <c r="AB307" i="68"/>
  <c r="AA307" i="68"/>
  <c r="AH306" i="68"/>
  <c r="AG306" i="68"/>
  <c r="AF306" i="68"/>
  <c r="AE306" i="68"/>
  <c r="AD306" i="68"/>
  <c r="AC306" i="68"/>
  <c r="AB306" i="68"/>
  <c r="AA306" i="68"/>
  <c r="AH299" i="68"/>
  <c r="AG299" i="68"/>
  <c r="AF299" i="68"/>
  <c r="AE299" i="68"/>
  <c r="AD299" i="68"/>
  <c r="AC299" i="68"/>
  <c r="AB299" i="68"/>
  <c r="AA299" i="68"/>
  <c r="AI299" i="68" s="1"/>
  <c r="AM299" i="68" s="1"/>
  <c r="AH298" i="68"/>
  <c r="AG298" i="68"/>
  <c r="AF298" i="68"/>
  <c r="AE298" i="68"/>
  <c r="AD298" i="68"/>
  <c r="AC298" i="68"/>
  <c r="AB298" i="68"/>
  <c r="AJ298" i="68" s="1"/>
  <c r="AN298" i="68" s="1"/>
  <c r="AA298" i="68"/>
  <c r="AI298" i="68" s="1"/>
  <c r="AM298" i="68" s="1"/>
  <c r="AH297" i="68"/>
  <c r="AG297" i="68"/>
  <c r="AF297" i="68"/>
  <c r="AE297" i="68"/>
  <c r="AD297" i="68"/>
  <c r="AC297" i="68"/>
  <c r="AK297" i="68" s="1"/>
  <c r="AO297" i="68" s="1"/>
  <c r="AB297" i="68"/>
  <c r="AJ297" i="68" s="1"/>
  <c r="AN297" i="68" s="1"/>
  <c r="AA297" i="68"/>
  <c r="AH296" i="68"/>
  <c r="AG296" i="68"/>
  <c r="AF296" i="68"/>
  <c r="AE296" i="68"/>
  <c r="AD296" i="68"/>
  <c r="AC296" i="68"/>
  <c r="AB296" i="68"/>
  <c r="AA296" i="68"/>
  <c r="AH295" i="68"/>
  <c r="AG295" i="68"/>
  <c r="AF295" i="68"/>
  <c r="AE295" i="68"/>
  <c r="AD295" i="68"/>
  <c r="AC295" i="68"/>
  <c r="AK295" i="68" s="1"/>
  <c r="AO295" i="68" s="1"/>
  <c r="AB295" i="68"/>
  <c r="AA295" i="68"/>
  <c r="AH294" i="68"/>
  <c r="AG294" i="68"/>
  <c r="AF294" i="68"/>
  <c r="AE294" i="68"/>
  <c r="AD294" i="68"/>
  <c r="AC294" i="68"/>
  <c r="AB294" i="68"/>
  <c r="AA294" i="68"/>
  <c r="AH293" i="68"/>
  <c r="AG293" i="68"/>
  <c r="AF293" i="68"/>
  <c r="AE293" i="68"/>
  <c r="AD293" i="68"/>
  <c r="AC293" i="68"/>
  <c r="AB293" i="68"/>
  <c r="AA293" i="68"/>
  <c r="AH292" i="68"/>
  <c r="AG292" i="68"/>
  <c r="AF292" i="68"/>
  <c r="AE292" i="68"/>
  <c r="AD292" i="68"/>
  <c r="AC292" i="68"/>
  <c r="AB292" i="68"/>
  <c r="AA292" i="68"/>
  <c r="AH291" i="68"/>
  <c r="AG291" i="68"/>
  <c r="AF291" i="68"/>
  <c r="AE291" i="68"/>
  <c r="AD291" i="68"/>
  <c r="AC291" i="68"/>
  <c r="AB291" i="68"/>
  <c r="AA291" i="68"/>
  <c r="AJ284" i="68"/>
  <c r="AN284" i="68" s="1"/>
  <c r="AH284" i="68"/>
  <c r="AH285" i="68" s="1"/>
  <c r="AG284" i="68"/>
  <c r="AF284" i="68"/>
  <c r="AE284" i="68"/>
  <c r="AD284" i="68"/>
  <c r="AC284" i="68"/>
  <c r="AB284" i="68"/>
  <c r="AA284" i="68"/>
  <c r="AI284" i="68" s="1"/>
  <c r="AM284" i="68" s="1"/>
  <c r="AH283" i="68"/>
  <c r="AG283" i="68"/>
  <c r="AF283" i="68"/>
  <c r="AF285" i="68" s="1"/>
  <c r="AE283" i="68"/>
  <c r="AD283" i="68"/>
  <c r="AC283" i="68"/>
  <c r="AC285" i="68" s="1"/>
  <c r="AB283" i="68"/>
  <c r="AJ283" i="68" s="1"/>
  <c r="AN283" i="68" s="1"/>
  <c r="AA283" i="68"/>
  <c r="AH277" i="68"/>
  <c r="AG277" i="68"/>
  <c r="AG16" i="68" s="1"/>
  <c r="AF277" i="68"/>
  <c r="AF16" i="68" s="1"/>
  <c r="AE277" i="68"/>
  <c r="AE16" i="68" s="1"/>
  <c r="AW16" i="68" s="1"/>
  <c r="AX16" i="68" s="1"/>
  <c r="AD277" i="68"/>
  <c r="AL277" i="68" s="1"/>
  <c r="AP277" i="68" s="1"/>
  <c r="AC277" i="68"/>
  <c r="AK277" i="68" s="1"/>
  <c r="AO277" i="68" s="1"/>
  <c r="AB277" i="68"/>
  <c r="AA277" i="68"/>
  <c r="AH270" i="68"/>
  <c r="AG270" i="68"/>
  <c r="AF270" i="68"/>
  <c r="AE270" i="68"/>
  <c r="AD270" i="68"/>
  <c r="AL270" i="68" s="1"/>
  <c r="AP270" i="68" s="1"/>
  <c r="AC270" i="68"/>
  <c r="AB270" i="68"/>
  <c r="AA270" i="68"/>
  <c r="AH269" i="68"/>
  <c r="AG269" i="68"/>
  <c r="AF269" i="68"/>
  <c r="AE269" i="68"/>
  <c r="AD269" i="68"/>
  <c r="AC269" i="68"/>
  <c r="AB269" i="68"/>
  <c r="AA269" i="68"/>
  <c r="AH268" i="68"/>
  <c r="AG268" i="68"/>
  <c r="AF268" i="68"/>
  <c r="AE268" i="68"/>
  <c r="AD268" i="68"/>
  <c r="AC268" i="68"/>
  <c r="AB268" i="68"/>
  <c r="AA268" i="68"/>
  <c r="AI268" i="68" s="1"/>
  <c r="AM268" i="68" s="1"/>
  <c r="AH267" i="68"/>
  <c r="AG267" i="68"/>
  <c r="AF267" i="68"/>
  <c r="AE267" i="68"/>
  <c r="AD267" i="68"/>
  <c r="AC267" i="68"/>
  <c r="AB267" i="68"/>
  <c r="AJ267" i="68" s="1"/>
  <c r="AN267" i="68" s="1"/>
  <c r="AA267" i="68"/>
  <c r="AI267" i="68" s="1"/>
  <c r="AM267" i="68" s="1"/>
  <c r="AH266" i="68"/>
  <c r="AG266" i="68"/>
  <c r="AF266" i="68"/>
  <c r="AE266" i="68"/>
  <c r="AD266" i="68"/>
  <c r="AC266" i="68"/>
  <c r="AB266" i="68"/>
  <c r="AJ266" i="68" s="1"/>
  <c r="AN266" i="68" s="1"/>
  <c r="AA266" i="68"/>
  <c r="AI266" i="68" s="1"/>
  <c r="AM266" i="68" s="1"/>
  <c r="AH265" i="68"/>
  <c r="AG265" i="68"/>
  <c r="AF265" i="68"/>
  <c r="AE265" i="68"/>
  <c r="AD265" i="68"/>
  <c r="AL265" i="68" s="1"/>
  <c r="AP265" i="68" s="1"/>
  <c r="AC265" i="68"/>
  <c r="AK265" i="68" s="1"/>
  <c r="AO265" i="68" s="1"/>
  <c r="AB265" i="68"/>
  <c r="AJ265" i="68" s="1"/>
  <c r="AN265" i="68" s="1"/>
  <c r="AA265" i="68"/>
  <c r="AH264" i="68"/>
  <c r="AG264" i="68"/>
  <c r="AF264" i="68"/>
  <c r="AE264" i="68"/>
  <c r="AD264" i="68"/>
  <c r="AL264" i="68" s="1"/>
  <c r="AP264" i="68" s="1"/>
  <c r="AC264" i="68"/>
  <c r="AK264" i="68" s="1"/>
  <c r="AO264" i="68" s="1"/>
  <c r="AB264" i="68"/>
  <c r="AA264" i="68"/>
  <c r="AH263" i="68"/>
  <c r="AG263" i="68"/>
  <c r="AF263" i="68"/>
  <c r="AJ263" i="68" s="1"/>
  <c r="AN263" i="68" s="1"/>
  <c r="AE263" i="68"/>
  <c r="AD263" i="68"/>
  <c r="AC263" i="68"/>
  <c r="AB263" i="68"/>
  <c r="AA263" i="68"/>
  <c r="AH262" i="68"/>
  <c r="AG262" i="68"/>
  <c r="AF262" i="68"/>
  <c r="AE262" i="68"/>
  <c r="AD262" i="68"/>
  <c r="AC262" i="68"/>
  <c r="AB262" i="68"/>
  <c r="AA262" i="68"/>
  <c r="AH261" i="68"/>
  <c r="AG261" i="68"/>
  <c r="AF261" i="68"/>
  <c r="AE261" i="68"/>
  <c r="AD261" i="68"/>
  <c r="AC261" i="68"/>
  <c r="AB261" i="68"/>
  <c r="AA261" i="68"/>
  <c r="AI261" i="68" s="1"/>
  <c r="AM261" i="68" s="1"/>
  <c r="AH260" i="68"/>
  <c r="AG260" i="68"/>
  <c r="AF260" i="68"/>
  <c r="AE260" i="68"/>
  <c r="AD260" i="68"/>
  <c r="AC260" i="68"/>
  <c r="AB260" i="68"/>
  <c r="AJ260" i="68" s="1"/>
  <c r="AN260" i="68" s="1"/>
  <c r="AA260" i="68"/>
  <c r="AH259" i="68"/>
  <c r="AG259" i="68"/>
  <c r="AF259" i="68"/>
  <c r="AE259" i="68"/>
  <c r="AD259" i="68"/>
  <c r="AC259" i="68"/>
  <c r="AK259" i="68" s="1"/>
  <c r="AO259" i="68" s="1"/>
  <c r="AB259" i="68"/>
  <c r="AA259" i="68"/>
  <c r="AH258" i="68"/>
  <c r="AG258" i="68"/>
  <c r="AF258" i="68"/>
  <c r="AE258" i="68"/>
  <c r="AD258" i="68"/>
  <c r="AL258" i="68" s="1"/>
  <c r="AP258" i="68" s="1"/>
  <c r="AC258" i="68"/>
  <c r="AB258" i="68"/>
  <c r="AA258" i="68"/>
  <c r="AH257" i="68"/>
  <c r="AG257" i="68"/>
  <c r="AF257" i="68"/>
  <c r="AE257" i="68"/>
  <c r="AD257" i="68"/>
  <c r="AC257" i="68"/>
  <c r="AB257" i="68"/>
  <c r="AA257" i="68"/>
  <c r="AH256" i="68"/>
  <c r="AG256" i="68"/>
  <c r="AF256" i="68"/>
  <c r="AE256" i="68"/>
  <c r="AD256" i="68"/>
  <c r="AC256" i="68"/>
  <c r="AB256" i="68"/>
  <c r="AA256" i="68"/>
  <c r="AH249" i="68"/>
  <c r="AG249" i="68"/>
  <c r="AF249" i="68"/>
  <c r="AE249" i="68"/>
  <c r="AD249" i="68"/>
  <c r="AL249" i="68" s="1"/>
  <c r="AP249" i="68" s="1"/>
  <c r="AC249" i="68"/>
  <c r="AB249" i="68"/>
  <c r="AA249" i="68"/>
  <c r="AH245" i="68"/>
  <c r="AG245" i="68"/>
  <c r="AF245" i="68"/>
  <c r="AE245" i="68"/>
  <c r="AD245" i="68"/>
  <c r="AC245" i="68"/>
  <c r="AB245" i="68"/>
  <c r="AA245" i="68"/>
  <c r="AI245" i="68" s="1"/>
  <c r="AM245" i="68" s="1"/>
  <c r="AN244" i="68"/>
  <c r="AH244" i="68"/>
  <c r="AG244" i="68"/>
  <c r="AF244" i="68"/>
  <c r="AE244" i="68"/>
  <c r="AD244" i="68"/>
  <c r="AC244" i="68"/>
  <c r="AK244" i="68" s="1"/>
  <c r="AO244" i="68" s="1"/>
  <c r="AB244" i="68"/>
  <c r="AJ244" i="68" s="1"/>
  <c r="AA244" i="68"/>
  <c r="AI244" i="68" s="1"/>
  <c r="AM244" i="68" s="1"/>
  <c r="AH243" i="68"/>
  <c r="AG243" i="68"/>
  <c r="AF243" i="68"/>
  <c r="AE243" i="68"/>
  <c r="AD243" i="68"/>
  <c r="AL243" i="68" s="1"/>
  <c r="AP243" i="68" s="1"/>
  <c r="AC243" i="68"/>
  <c r="AK243" i="68" s="1"/>
  <c r="AO243" i="68" s="1"/>
  <c r="AB243" i="68"/>
  <c r="AJ243" i="68" s="1"/>
  <c r="AN243" i="68" s="1"/>
  <c r="AA243" i="68"/>
  <c r="AH242" i="68"/>
  <c r="AG242" i="68"/>
  <c r="AF242" i="68"/>
  <c r="AJ242" i="68" s="1"/>
  <c r="AN242" i="68" s="1"/>
  <c r="AE242" i="68"/>
  <c r="AD242" i="68"/>
  <c r="AC242" i="68"/>
  <c r="AK242" i="68" s="1"/>
  <c r="AO242" i="68" s="1"/>
  <c r="AB242" i="68"/>
  <c r="AA242" i="68"/>
  <c r="AH241" i="68"/>
  <c r="AG241" i="68"/>
  <c r="AF241" i="68"/>
  <c r="AE241" i="68"/>
  <c r="AD241" i="68"/>
  <c r="AL241" i="68" s="1"/>
  <c r="AP241" i="68" s="1"/>
  <c r="AC241" i="68"/>
  <c r="AB241" i="68"/>
  <c r="AA241" i="68"/>
  <c r="AH240" i="68"/>
  <c r="AG240" i="68"/>
  <c r="AF240" i="68"/>
  <c r="AJ240" i="68" s="1"/>
  <c r="AN240" i="68" s="1"/>
  <c r="AE240" i="68"/>
  <c r="AD240" i="68"/>
  <c r="AC240" i="68"/>
  <c r="AB240" i="68"/>
  <c r="AA240" i="68"/>
  <c r="AI240" i="68" s="1"/>
  <c r="AM240" i="68" s="1"/>
  <c r="AH239" i="68"/>
  <c r="AG239" i="68"/>
  <c r="AF239" i="68"/>
  <c r="AE239" i="68"/>
  <c r="AD239" i="68"/>
  <c r="AC239" i="68"/>
  <c r="AK239" i="68" s="1"/>
  <c r="AO239" i="68" s="1"/>
  <c r="AB239" i="68"/>
  <c r="AJ239" i="68" s="1"/>
  <c r="AN239" i="68" s="1"/>
  <c r="AA239" i="68"/>
  <c r="AH238" i="68"/>
  <c r="AG238" i="68"/>
  <c r="AF238" i="68"/>
  <c r="AE238" i="68"/>
  <c r="AD238" i="68"/>
  <c r="AL238" i="68" s="1"/>
  <c r="AP238" i="68" s="1"/>
  <c r="AC238" i="68"/>
  <c r="AK238" i="68" s="1"/>
  <c r="AO238" i="68" s="1"/>
  <c r="AB238" i="68"/>
  <c r="AA238" i="68"/>
  <c r="AH237" i="68"/>
  <c r="AG237" i="68"/>
  <c r="AF237" i="68"/>
  <c r="AE237" i="68"/>
  <c r="AD237" i="68"/>
  <c r="AL237" i="68" s="1"/>
  <c r="AP237" i="68" s="1"/>
  <c r="AC237" i="68"/>
  <c r="AB237" i="68"/>
  <c r="AA237" i="68"/>
  <c r="AH236" i="68"/>
  <c r="AG236" i="68"/>
  <c r="AF236" i="68"/>
  <c r="AE236" i="68"/>
  <c r="AD236" i="68"/>
  <c r="AC236" i="68"/>
  <c r="AB236" i="68"/>
  <c r="AA236" i="68"/>
  <c r="AH235" i="68"/>
  <c r="AG235" i="68"/>
  <c r="AF235" i="68"/>
  <c r="AE235" i="68"/>
  <c r="AD235" i="68"/>
  <c r="AC235" i="68"/>
  <c r="AB235" i="68"/>
  <c r="AA235" i="68"/>
  <c r="AH234" i="68"/>
  <c r="AG234" i="68"/>
  <c r="AF234" i="68"/>
  <c r="AE234" i="68"/>
  <c r="AD234" i="68"/>
  <c r="AC234" i="68"/>
  <c r="AB234" i="68"/>
  <c r="AA234" i="68"/>
  <c r="AH233" i="68"/>
  <c r="AG233" i="68"/>
  <c r="AF233" i="68"/>
  <c r="AE233" i="68"/>
  <c r="AD233" i="68"/>
  <c r="AC233" i="68"/>
  <c r="AB233" i="68"/>
  <c r="AA233" i="68"/>
  <c r="AH232" i="68"/>
  <c r="AG232" i="68"/>
  <c r="AF232" i="68"/>
  <c r="AE232" i="68"/>
  <c r="AD232" i="68"/>
  <c r="AC232" i="68"/>
  <c r="AB232" i="68"/>
  <c r="AA232" i="68"/>
  <c r="AH231" i="68"/>
  <c r="AG231" i="68"/>
  <c r="AF231" i="68"/>
  <c r="AE231" i="68"/>
  <c r="AD231" i="68"/>
  <c r="AC231" i="68"/>
  <c r="AB231" i="68"/>
  <c r="AA231" i="68"/>
  <c r="AH230" i="68"/>
  <c r="AG230" i="68"/>
  <c r="AF230" i="68"/>
  <c r="AE230" i="68"/>
  <c r="AD230" i="68"/>
  <c r="AC230" i="68"/>
  <c r="AB230" i="68"/>
  <c r="AA230" i="68"/>
  <c r="AH229" i="68"/>
  <c r="AG229" i="68"/>
  <c r="AF229" i="68"/>
  <c r="AE229" i="68"/>
  <c r="AD229" i="68"/>
  <c r="AC229" i="68"/>
  <c r="AK229" i="68" s="1"/>
  <c r="AO229" i="68" s="1"/>
  <c r="AB229" i="68"/>
  <c r="AA229" i="68"/>
  <c r="AH228" i="68"/>
  <c r="AG228" i="68"/>
  <c r="AF228" i="68"/>
  <c r="AE228" i="68"/>
  <c r="AD228" i="68"/>
  <c r="AL228" i="68" s="1"/>
  <c r="AP228" i="68" s="1"/>
  <c r="AC228" i="68"/>
  <c r="AB228" i="68"/>
  <c r="AA228" i="68"/>
  <c r="AH227" i="68"/>
  <c r="AG227" i="68"/>
  <c r="AF227" i="68"/>
  <c r="AE227" i="68"/>
  <c r="AD227" i="68"/>
  <c r="AC227" i="68"/>
  <c r="AB227" i="68"/>
  <c r="AA227" i="68"/>
  <c r="AH226" i="68"/>
  <c r="AG226" i="68"/>
  <c r="AF226" i="68"/>
  <c r="AE226" i="68"/>
  <c r="AD226" i="68"/>
  <c r="AC226" i="68"/>
  <c r="AB226" i="68"/>
  <c r="AA226" i="68"/>
  <c r="AH225" i="68"/>
  <c r="AG225" i="68"/>
  <c r="AF225" i="68"/>
  <c r="AE225" i="68"/>
  <c r="AD225" i="68"/>
  <c r="AC225" i="68"/>
  <c r="AB225" i="68"/>
  <c r="AA225" i="68"/>
  <c r="AI225" i="68" s="1"/>
  <c r="AM225" i="68" s="1"/>
  <c r="AH224" i="68"/>
  <c r="AG224" i="68"/>
  <c r="AF224" i="68"/>
  <c r="AE224" i="68"/>
  <c r="AD224" i="68"/>
  <c r="AC224" i="68"/>
  <c r="AB224" i="68"/>
  <c r="AJ224" i="68" s="1"/>
  <c r="AN224" i="68" s="1"/>
  <c r="AA224" i="68"/>
  <c r="AI224" i="68" s="1"/>
  <c r="AM224" i="68" s="1"/>
  <c r="AL223" i="68"/>
  <c r="AP223" i="68" s="1"/>
  <c r="AH223" i="68"/>
  <c r="AG223" i="68"/>
  <c r="AF223" i="68"/>
  <c r="AE223" i="68"/>
  <c r="AD223" i="68"/>
  <c r="AC223" i="68"/>
  <c r="AK223" i="68" s="1"/>
  <c r="AO223" i="68" s="1"/>
  <c r="AB223" i="68"/>
  <c r="AJ223" i="68" s="1"/>
  <c r="AN223" i="68" s="1"/>
  <c r="AA223" i="68"/>
  <c r="AH222" i="68"/>
  <c r="AG222" i="68"/>
  <c r="AF222" i="68"/>
  <c r="AE222" i="68"/>
  <c r="AD222" i="68"/>
  <c r="AL222" i="68" s="1"/>
  <c r="AP222" i="68" s="1"/>
  <c r="AC222" i="68"/>
  <c r="AK222" i="68" s="1"/>
  <c r="AO222" i="68" s="1"/>
  <c r="AB222" i="68"/>
  <c r="AA222" i="68"/>
  <c r="AH221" i="68"/>
  <c r="AG221" i="68"/>
  <c r="AF221" i="68"/>
  <c r="AE221" i="68"/>
  <c r="AD221" i="68"/>
  <c r="AC221" i="68"/>
  <c r="AB221" i="68"/>
  <c r="AA221" i="68"/>
  <c r="AH220" i="68"/>
  <c r="AG220" i="68"/>
  <c r="AF220" i="68"/>
  <c r="AE220" i="68"/>
  <c r="AD220" i="68"/>
  <c r="AL220" i="68" s="1"/>
  <c r="AP220" i="68" s="1"/>
  <c r="AC220" i="68"/>
  <c r="AB220" i="68"/>
  <c r="AA220" i="68"/>
  <c r="AI220" i="68" s="1"/>
  <c r="AM220" i="68" s="1"/>
  <c r="AH219" i="68"/>
  <c r="AG219" i="68"/>
  <c r="AF219" i="68"/>
  <c r="AE219" i="68"/>
  <c r="AD219" i="68"/>
  <c r="AC219" i="68"/>
  <c r="AB219" i="68"/>
  <c r="AJ219" i="68" s="1"/>
  <c r="AN219" i="68" s="1"/>
  <c r="AA219" i="68"/>
  <c r="AH218" i="68"/>
  <c r="AG218" i="68"/>
  <c r="AF218" i="68"/>
  <c r="AE218" i="68"/>
  <c r="AD218" i="68"/>
  <c r="AC218" i="68"/>
  <c r="AB218" i="68"/>
  <c r="AA218" i="68"/>
  <c r="AI218" i="68" s="1"/>
  <c r="AM218" i="68" s="1"/>
  <c r="AH217" i="68"/>
  <c r="AG217" i="68"/>
  <c r="AF217" i="68"/>
  <c r="AE217" i="68"/>
  <c r="AD217" i="68"/>
  <c r="AC217" i="68"/>
  <c r="AK217" i="68" s="1"/>
  <c r="AO217" i="68" s="1"/>
  <c r="AB217" i="68"/>
  <c r="AA217" i="68"/>
  <c r="AH216" i="68"/>
  <c r="AG216" i="68"/>
  <c r="AF216" i="68"/>
  <c r="AE216" i="68"/>
  <c r="AD216" i="68"/>
  <c r="AL216" i="68" s="1"/>
  <c r="AP216" i="68" s="1"/>
  <c r="AC216" i="68"/>
  <c r="AB216" i="68"/>
  <c r="AA216" i="68"/>
  <c r="AH209" i="68"/>
  <c r="AG209" i="68"/>
  <c r="AF209" i="68"/>
  <c r="AE209" i="68"/>
  <c r="AD209" i="68"/>
  <c r="AC209" i="68"/>
  <c r="AB209" i="68"/>
  <c r="AA209" i="68"/>
  <c r="AH208" i="68"/>
  <c r="AG208" i="68"/>
  <c r="AF208" i="68"/>
  <c r="AE208" i="68"/>
  <c r="AD208" i="68"/>
  <c r="AC208" i="68"/>
  <c r="AB208" i="68"/>
  <c r="AA208" i="68"/>
  <c r="AH207" i="68"/>
  <c r="AG207" i="68"/>
  <c r="AF207" i="68"/>
  <c r="AE207" i="68"/>
  <c r="AD207" i="68"/>
  <c r="AC207" i="68"/>
  <c r="AB207" i="68"/>
  <c r="AA207" i="68"/>
  <c r="AH206" i="68"/>
  <c r="AG206" i="68"/>
  <c r="AF206" i="68"/>
  <c r="AE206" i="68"/>
  <c r="AD206" i="68"/>
  <c r="AC206" i="68"/>
  <c r="AB206" i="68"/>
  <c r="AA206" i="68"/>
  <c r="AH205" i="68"/>
  <c r="AG205" i="68"/>
  <c r="AF205" i="68"/>
  <c r="AE205" i="68"/>
  <c r="AD205" i="68"/>
  <c r="AC205" i="68"/>
  <c r="AB205" i="68"/>
  <c r="AA205" i="68"/>
  <c r="AI205" i="68" s="1"/>
  <c r="AM205" i="68" s="1"/>
  <c r="AH204" i="68"/>
  <c r="AG204" i="68"/>
  <c r="AF204" i="68"/>
  <c r="AE204" i="68"/>
  <c r="AD204" i="68"/>
  <c r="AC204" i="68"/>
  <c r="AK204" i="68" s="1"/>
  <c r="AO204" i="68" s="1"/>
  <c r="AB204" i="68"/>
  <c r="AJ204" i="68" s="1"/>
  <c r="AN204" i="68" s="1"/>
  <c r="AA204" i="68"/>
  <c r="AI204" i="68" s="1"/>
  <c r="AM204" i="68" s="1"/>
  <c r="AH203" i="68"/>
  <c r="AG203" i="68"/>
  <c r="AF203" i="68"/>
  <c r="AE203" i="68"/>
  <c r="AD203" i="68"/>
  <c r="AL203" i="68" s="1"/>
  <c r="AP203" i="68" s="1"/>
  <c r="AC203" i="68"/>
  <c r="AB203" i="68"/>
  <c r="AJ203" i="68" s="1"/>
  <c r="AN203" i="68" s="1"/>
  <c r="AA203" i="68"/>
  <c r="AH202" i="68"/>
  <c r="AG202" i="68"/>
  <c r="AF202" i="68"/>
  <c r="AE202" i="68"/>
  <c r="AE210" i="68" s="1"/>
  <c r="AE13" i="68" s="1"/>
  <c r="AD202" i="68"/>
  <c r="AL202" i="68" s="1"/>
  <c r="AP202" i="68" s="1"/>
  <c r="AC202" i="68"/>
  <c r="AB202" i="68"/>
  <c r="AA202" i="68"/>
  <c r="AH195" i="68"/>
  <c r="AG195" i="68"/>
  <c r="AF195" i="68"/>
  <c r="AE195" i="68"/>
  <c r="AD195" i="68"/>
  <c r="AC195" i="68"/>
  <c r="AB195" i="68"/>
  <c r="AA195" i="68"/>
  <c r="AH194" i="68"/>
  <c r="AG194" i="68"/>
  <c r="AF194" i="68"/>
  <c r="AE194" i="68"/>
  <c r="AD194" i="68"/>
  <c r="AC194" i="68"/>
  <c r="AB194" i="68"/>
  <c r="AA194" i="68"/>
  <c r="AH193" i="68"/>
  <c r="AG193" i="68"/>
  <c r="AF193" i="68"/>
  <c r="AE193" i="68"/>
  <c r="AD193" i="68"/>
  <c r="AC193" i="68"/>
  <c r="AB193" i="68"/>
  <c r="AA193" i="68"/>
  <c r="AH192" i="68"/>
  <c r="AG192" i="68"/>
  <c r="AF192" i="68"/>
  <c r="AE192" i="68"/>
  <c r="AD192" i="68"/>
  <c r="AC192" i="68"/>
  <c r="AB192" i="68"/>
  <c r="AA192" i="68"/>
  <c r="AH191" i="68"/>
  <c r="AG191" i="68"/>
  <c r="AF191" i="68"/>
  <c r="AE191" i="68"/>
  <c r="AD191" i="68"/>
  <c r="AC191" i="68"/>
  <c r="AB191" i="68"/>
  <c r="AA191" i="68"/>
  <c r="AH190" i="68"/>
  <c r="AG190" i="68"/>
  <c r="AF190" i="68"/>
  <c r="AE190" i="68"/>
  <c r="AD190" i="68"/>
  <c r="AC190" i="68"/>
  <c r="AK190" i="68" s="1"/>
  <c r="AO190" i="68" s="1"/>
  <c r="AB190" i="68"/>
  <c r="AJ190" i="68" s="1"/>
  <c r="AN190" i="68" s="1"/>
  <c r="AA190" i="68"/>
  <c r="AH189" i="68"/>
  <c r="AG189" i="68"/>
  <c r="AF189" i="68"/>
  <c r="AE189" i="68"/>
  <c r="AD189" i="68"/>
  <c r="AL189" i="68" s="1"/>
  <c r="AP189" i="68" s="1"/>
  <c r="AC189" i="68"/>
  <c r="AK189" i="68" s="1"/>
  <c r="AO189" i="68" s="1"/>
  <c r="AB189" i="68"/>
  <c r="AA189" i="68"/>
  <c r="AH188" i="68"/>
  <c r="AG188" i="68"/>
  <c r="AF188" i="68"/>
  <c r="AE188" i="68"/>
  <c r="AD188" i="68"/>
  <c r="AL188" i="68" s="1"/>
  <c r="AP188" i="68" s="1"/>
  <c r="AC188" i="68"/>
  <c r="AB188" i="68"/>
  <c r="AA188" i="68"/>
  <c r="AH187" i="68"/>
  <c r="AG187" i="68"/>
  <c r="AF187" i="68"/>
  <c r="AE187" i="68"/>
  <c r="AD187" i="68"/>
  <c r="AC187" i="68"/>
  <c r="AB187" i="68"/>
  <c r="AA187" i="68"/>
  <c r="AJ186" i="68"/>
  <c r="AN186" i="68" s="1"/>
  <c r="AH186" i="68"/>
  <c r="AG186" i="68"/>
  <c r="AF186" i="68"/>
  <c r="AE186" i="68"/>
  <c r="AD186" i="68"/>
  <c r="AC186" i="68"/>
  <c r="AB186" i="68"/>
  <c r="AA186" i="68"/>
  <c r="AI186" i="68" s="1"/>
  <c r="AM186" i="68" s="1"/>
  <c r="AH185" i="68"/>
  <c r="AG185" i="68"/>
  <c r="AF185" i="68"/>
  <c r="AE185" i="68"/>
  <c r="AD185" i="68"/>
  <c r="AC185" i="68"/>
  <c r="AK185" i="68" s="1"/>
  <c r="AO185" i="68" s="1"/>
  <c r="AB185" i="68"/>
  <c r="AJ185" i="68" s="1"/>
  <c r="AN185" i="68" s="1"/>
  <c r="AA185" i="68"/>
  <c r="AH184" i="68"/>
  <c r="AG184" i="68"/>
  <c r="AF184" i="68"/>
  <c r="AE184" i="68"/>
  <c r="AD184" i="68"/>
  <c r="AL184" i="68" s="1"/>
  <c r="AP184" i="68" s="1"/>
  <c r="AC184" i="68"/>
  <c r="AB184" i="68"/>
  <c r="AA184" i="68"/>
  <c r="AH183" i="68"/>
  <c r="AG183" i="68"/>
  <c r="AF183" i="68"/>
  <c r="AE183" i="68"/>
  <c r="AD183" i="68"/>
  <c r="AC183" i="68"/>
  <c r="AK183" i="68" s="1"/>
  <c r="AO183" i="68" s="1"/>
  <c r="AB183" i="68"/>
  <c r="AA183" i="68"/>
  <c r="AH176" i="68"/>
  <c r="AG176" i="68"/>
  <c r="AF176" i="68"/>
  <c r="AE176" i="68"/>
  <c r="AD176" i="68"/>
  <c r="AC176" i="68"/>
  <c r="AB176" i="68"/>
  <c r="AA176" i="68"/>
  <c r="AH175" i="68"/>
  <c r="AG175" i="68"/>
  <c r="AF175" i="68"/>
  <c r="AE175" i="68"/>
  <c r="AD175" i="68"/>
  <c r="AC175" i="68"/>
  <c r="AB175" i="68"/>
  <c r="AA175" i="68"/>
  <c r="AH174" i="68"/>
  <c r="AH177" i="68" s="1"/>
  <c r="AH11" i="68" s="1"/>
  <c r="AG174" i="68"/>
  <c r="AF174" i="68"/>
  <c r="AE174" i="68"/>
  <c r="AD174" i="68"/>
  <c r="AC174" i="68"/>
  <c r="AB174" i="68"/>
  <c r="AA174" i="68"/>
  <c r="AA177" i="68" s="1"/>
  <c r="AA11" i="68" s="1"/>
  <c r="AH167" i="68"/>
  <c r="AG167" i="68"/>
  <c r="AF167" i="68"/>
  <c r="AE167" i="68"/>
  <c r="AD167" i="68"/>
  <c r="AC167" i="68"/>
  <c r="AB167" i="68"/>
  <c r="AA167" i="68"/>
  <c r="AI167" i="68" s="1"/>
  <c r="AM167" i="68" s="1"/>
  <c r="AH166" i="68"/>
  <c r="AG166" i="68"/>
  <c r="AF166" i="68"/>
  <c r="AE166" i="68"/>
  <c r="AD166" i="68"/>
  <c r="AC166" i="68"/>
  <c r="AB166" i="68"/>
  <c r="AJ166" i="68" s="1"/>
  <c r="AN166" i="68" s="1"/>
  <c r="AA166" i="68"/>
  <c r="AH165" i="68"/>
  <c r="AG165" i="68"/>
  <c r="AF165" i="68"/>
  <c r="AE165" i="68"/>
  <c r="AD165" i="68"/>
  <c r="AC165" i="68"/>
  <c r="AB165" i="68"/>
  <c r="AA165" i="68"/>
  <c r="AH164" i="68"/>
  <c r="AG164" i="68"/>
  <c r="AF164" i="68"/>
  <c r="AE164" i="68"/>
  <c r="AD164" i="68"/>
  <c r="AC164" i="68"/>
  <c r="AB164" i="68"/>
  <c r="AA164" i="68"/>
  <c r="AI164" i="68" s="1"/>
  <c r="AM164" i="68" s="1"/>
  <c r="AH163" i="68"/>
  <c r="AG163" i="68"/>
  <c r="AF163" i="68"/>
  <c r="AE163" i="68"/>
  <c r="AD163" i="68"/>
  <c r="AC163" i="68"/>
  <c r="AK163" i="68" s="1"/>
  <c r="AO163" i="68" s="1"/>
  <c r="AB163" i="68"/>
  <c r="AJ163" i="68" s="1"/>
  <c r="AN163" i="68" s="1"/>
  <c r="AA163" i="68"/>
  <c r="AH162" i="68"/>
  <c r="AG162" i="68"/>
  <c r="AF162" i="68"/>
  <c r="AE162" i="68"/>
  <c r="AD162" i="68"/>
  <c r="AL162" i="68" s="1"/>
  <c r="AP162" i="68" s="1"/>
  <c r="AC162" i="68"/>
  <c r="AK162" i="68" s="1"/>
  <c r="AO162" i="68" s="1"/>
  <c r="AB162" i="68"/>
  <c r="AA162" i="68"/>
  <c r="AH161" i="68"/>
  <c r="AG161" i="68"/>
  <c r="AF161" i="68"/>
  <c r="AE161" i="68"/>
  <c r="AD161" i="68"/>
  <c r="AC161" i="68"/>
  <c r="AB161" i="68"/>
  <c r="AA161" i="68"/>
  <c r="AH160" i="68"/>
  <c r="AG160" i="68"/>
  <c r="AF160" i="68"/>
  <c r="AE160" i="68"/>
  <c r="AD160" i="68"/>
  <c r="AC160" i="68"/>
  <c r="AB160" i="68"/>
  <c r="AA160" i="68"/>
  <c r="AH159" i="68"/>
  <c r="AG159" i="68"/>
  <c r="AF159" i="68"/>
  <c r="AE159" i="68"/>
  <c r="AD159" i="68"/>
  <c r="AL159" i="68" s="1"/>
  <c r="AP159" i="68" s="1"/>
  <c r="AC159" i="68"/>
  <c r="AB159" i="68"/>
  <c r="AJ159" i="68" s="1"/>
  <c r="AN159" i="68" s="1"/>
  <c r="AA159" i="68"/>
  <c r="AI159" i="68" s="1"/>
  <c r="AM159" i="68" s="1"/>
  <c r="AH158" i="68"/>
  <c r="AG158" i="68"/>
  <c r="AF158" i="68"/>
  <c r="AE158" i="68"/>
  <c r="AD158" i="68"/>
  <c r="AC158" i="68"/>
  <c r="AB158" i="68"/>
  <c r="AA158" i="68"/>
  <c r="AH157" i="68"/>
  <c r="AG157" i="68"/>
  <c r="AF157" i="68"/>
  <c r="AE157" i="68"/>
  <c r="AD157" i="68"/>
  <c r="AL157" i="68" s="1"/>
  <c r="AP157" i="68" s="1"/>
  <c r="AC157" i="68"/>
  <c r="AB157" i="68"/>
  <c r="AA157" i="68"/>
  <c r="AH156" i="68"/>
  <c r="AG156" i="68"/>
  <c r="AF156" i="68"/>
  <c r="AE156" i="68"/>
  <c r="AD156" i="68"/>
  <c r="AC156" i="68"/>
  <c r="AB156" i="68"/>
  <c r="AA156" i="68"/>
  <c r="AH155" i="68"/>
  <c r="AG155" i="68"/>
  <c r="AF155" i="68"/>
  <c r="AE155" i="68"/>
  <c r="AD155" i="68"/>
  <c r="AC155" i="68"/>
  <c r="AK155" i="68" s="1"/>
  <c r="AO155" i="68" s="1"/>
  <c r="AB155" i="68"/>
  <c r="AA155" i="68"/>
  <c r="AH154" i="68"/>
  <c r="AG154" i="68"/>
  <c r="AF154" i="68"/>
  <c r="AE154" i="68"/>
  <c r="AD154" i="68"/>
  <c r="AL154" i="68" s="1"/>
  <c r="AP154" i="68" s="1"/>
  <c r="AC154" i="68"/>
  <c r="AB154" i="68"/>
  <c r="AA154" i="68"/>
  <c r="AH153" i="68"/>
  <c r="AG153" i="68"/>
  <c r="AF153" i="68"/>
  <c r="AE153" i="68"/>
  <c r="AD153" i="68"/>
  <c r="AC153" i="68"/>
  <c r="AB153" i="68"/>
  <c r="AA153" i="68"/>
  <c r="AH152" i="68"/>
  <c r="AG152" i="68"/>
  <c r="AF152" i="68"/>
  <c r="AE152" i="68"/>
  <c r="AD152" i="68"/>
  <c r="AC152" i="68"/>
  <c r="AB152" i="68"/>
  <c r="AA152" i="68"/>
  <c r="AI152" i="68" s="1"/>
  <c r="AM152" i="68" s="1"/>
  <c r="AH151" i="68"/>
  <c r="AG151" i="68"/>
  <c r="AF151" i="68"/>
  <c r="AE151" i="68"/>
  <c r="AD151" i="68"/>
  <c r="AC151" i="68"/>
  <c r="AB151" i="68"/>
  <c r="AJ151" i="68" s="1"/>
  <c r="AN151" i="68" s="1"/>
  <c r="AA151" i="68"/>
  <c r="AI151" i="68" s="1"/>
  <c r="AM151" i="68" s="1"/>
  <c r="AH150" i="68"/>
  <c r="AG150" i="68"/>
  <c r="AF150" i="68"/>
  <c r="AE150" i="68"/>
  <c r="AD150" i="68"/>
  <c r="AC150" i="68"/>
  <c r="AB150" i="68"/>
  <c r="AA150" i="68"/>
  <c r="AH149" i="68"/>
  <c r="AG149" i="68"/>
  <c r="AF149" i="68"/>
  <c r="AE149" i="68"/>
  <c r="AD149" i="68"/>
  <c r="AC149" i="68"/>
  <c r="AB149" i="68"/>
  <c r="AA149" i="68"/>
  <c r="AH148" i="68"/>
  <c r="AG148" i="68"/>
  <c r="AF148" i="68"/>
  <c r="AE148" i="68"/>
  <c r="AD148" i="68"/>
  <c r="AC148" i="68"/>
  <c r="AB148" i="68"/>
  <c r="AA148" i="68"/>
  <c r="AH147" i="68"/>
  <c r="AG147" i="68"/>
  <c r="AF147" i="68"/>
  <c r="AE147" i="68"/>
  <c r="AD147" i="68"/>
  <c r="AL147" i="68" s="1"/>
  <c r="AP147" i="68" s="1"/>
  <c r="AC147" i="68"/>
  <c r="AK147" i="68" s="1"/>
  <c r="AO147" i="68" s="1"/>
  <c r="AB147" i="68"/>
  <c r="AA147" i="68"/>
  <c r="AH146" i="68"/>
  <c r="AG146" i="68"/>
  <c r="AF146" i="68"/>
  <c r="AE146" i="68"/>
  <c r="AD146" i="68"/>
  <c r="AL146" i="68" s="1"/>
  <c r="AP146" i="68" s="1"/>
  <c r="AC146" i="68"/>
  <c r="AB146" i="68"/>
  <c r="AA146" i="68"/>
  <c r="AH145" i="68"/>
  <c r="AG145" i="68"/>
  <c r="AF145" i="68"/>
  <c r="AE145" i="68"/>
  <c r="AD145" i="68"/>
  <c r="AC145" i="68"/>
  <c r="AB145" i="68"/>
  <c r="AA145" i="68"/>
  <c r="AH144" i="68"/>
  <c r="AG144" i="68"/>
  <c r="AF144" i="68"/>
  <c r="AE144" i="68"/>
  <c r="AD144" i="68"/>
  <c r="AC144" i="68"/>
  <c r="AB144" i="68"/>
  <c r="AA144" i="68"/>
  <c r="AI144" i="68" s="1"/>
  <c r="AM144" i="68" s="1"/>
  <c r="AH143" i="68"/>
  <c r="AG143" i="68"/>
  <c r="AF143" i="68"/>
  <c r="AE143" i="68"/>
  <c r="AD143" i="68"/>
  <c r="AC143" i="68"/>
  <c r="AB143" i="68"/>
  <c r="AJ143" i="68" s="1"/>
  <c r="AN143" i="68" s="1"/>
  <c r="AA143" i="68"/>
  <c r="AI143" i="68" s="1"/>
  <c r="AM143" i="68" s="1"/>
  <c r="AH142" i="68"/>
  <c r="AG142" i="68"/>
  <c r="AF142" i="68"/>
  <c r="AE142" i="68"/>
  <c r="AD142" i="68"/>
  <c r="AC142" i="68"/>
  <c r="AK142" i="68" s="1"/>
  <c r="AO142" i="68" s="1"/>
  <c r="AB142" i="68"/>
  <c r="AJ142" i="68" s="1"/>
  <c r="AN142" i="68" s="1"/>
  <c r="AA142" i="68"/>
  <c r="AI142" i="68" s="1"/>
  <c r="AM142" i="68" s="1"/>
  <c r="AH141" i="68"/>
  <c r="AG141" i="68"/>
  <c r="AF141" i="68"/>
  <c r="AE141" i="68"/>
  <c r="AD141" i="68"/>
  <c r="AL141" i="68" s="1"/>
  <c r="AP141" i="68" s="1"/>
  <c r="AC141" i="68"/>
  <c r="AK141" i="68" s="1"/>
  <c r="AO141" i="68" s="1"/>
  <c r="AB141" i="68"/>
  <c r="AA141" i="68"/>
  <c r="AH140" i="68"/>
  <c r="AG140" i="68"/>
  <c r="AF140" i="68"/>
  <c r="AE140" i="68"/>
  <c r="AD140" i="68"/>
  <c r="AL140" i="68" s="1"/>
  <c r="AP140" i="68" s="1"/>
  <c r="AC140" i="68"/>
  <c r="AB140" i="68"/>
  <c r="AA140" i="68"/>
  <c r="AH139" i="68"/>
  <c r="AG139" i="68"/>
  <c r="AF139" i="68"/>
  <c r="AE139" i="68"/>
  <c r="AD139" i="68"/>
  <c r="AC139" i="68"/>
  <c r="AB139" i="68"/>
  <c r="AA139" i="68"/>
  <c r="AH138" i="68"/>
  <c r="AG138" i="68"/>
  <c r="AF138" i="68"/>
  <c r="AE138" i="68"/>
  <c r="AD138" i="68"/>
  <c r="AC138" i="68"/>
  <c r="AB138" i="68"/>
  <c r="AA138" i="68"/>
  <c r="AH137" i="68"/>
  <c r="AG137" i="68"/>
  <c r="AF137" i="68"/>
  <c r="AE137" i="68"/>
  <c r="AD137" i="68"/>
  <c r="AC137" i="68"/>
  <c r="AB137" i="68"/>
  <c r="AA137" i="68"/>
  <c r="AH136" i="68"/>
  <c r="AG136" i="68"/>
  <c r="AF136" i="68"/>
  <c r="AE136" i="68"/>
  <c r="AD136" i="68"/>
  <c r="AC136" i="68"/>
  <c r="AB136" i="68"/>
  <c r="AA136" i="68"/>
  <c r="AH135" i="68"/>
  <c r="AG135" i="68"/>
  <c r="AF135" i="68"/>
  <c r="AE135" i="68"/>
  <c r="AD135" i="68"/>
  <c r="AC135" i="68"/>
  <c r="AB135" i="68"/>
  <c r="AA135" i="68"/>
  <c r="AI135" i="68" s="1"/>
  <c r="AM135" i="68" s="1"/>
  <c r="AH134" i="68"/>
  <c r="AG134" i="68"/>
  <c r="AF134" i="68"/>
  <c r="AE134" i="68"/>
  <c r="AD134" i="68"/>
  <c r="AC134" i="68"/>
  <c r="AB134" i="68"/>
  <c r="AJ134" i="68" s="1"/>
  <c r="AN134" i="68" s="1"/>
  <c r="AA134" i="68"/>
  <c r="AH133" i="68"/>
  <c r="AG133" i="68"/>
  <c r="AF133" i="68"/>
  <c r="AE133" i="68"/>
  <c r="AD133" i="68"/>
  <c r="AL133" i="68" s="1"/>
  <c r="AP133" i="68" s="1"/>
  <c r="AC133" i="68"/>
  <c r="AK133" i="68" s="1"/>
  <c r="AO133" i="68" s="1"/>
  <c r="AB133" i="68"/>
  <c r="AA133" i="68"/>
  <c r="AH132" i="68"/>
  <c r="AG132" i="68"/>
  <c r="AF132" i="68"/>
  <c r="AE132" i="68"/>
  <c r="AD132" i="68"/>
  <c r="AL132" i="68" s="1"/>
  <c r="AP132" i="68" s="1"/>
  <c r="AC132" i="68"/>
  <c r="AB132" i="68"/>
  <c r="AA132" i="68"/>
  <c r="AH131" i="68"/>
  <c r="AG131" i="68"/>
  <c r="AF131" i="68"/>
  <c r="AE131" i="68"/>
  <c r="AD131" i="68"/>
  <c r="AC131" i="68"/>
  <c r="AB131" i="68"/>
  <c r="AA131" i="68"/>
  <c r="AH130" i="68"/>
  <c r="AG130" i="68"/>
  <c r="AF130" i="68"/>
  <c r="AE130" i="68"/>
  <c r="AD130" i="68"/>
  <c r="AC130" i="68"/>
  <c r="AB130" i="68"/>
  <c r="AA130" i="68"/>
  <c r="AH129" i="68"/>
  <c r="AG129" i="68"/>
  <c r="AF129" i="68"/>
  <c r="AE129" i="68"/>
  <c r="AD129" i="68"/>
  <c r="AC129" i="68"/>
  <c r="AB129" i="68"/>
  <c r="AJ129" i="68" s="1"/>
  <c r="AN129" i="68" s="1"/>
  <c r="AA129" i="68"/>
  <c r="AI129" i="68" s="1"/>
  <c r="AM129" i="68" s="1"/>
  <c r="AH128" i="68"/>
  <c r="AG128" i="68"/>
  <c r="AF128" i="68"/>
  <c r="AE128" i="68"/>
  <c r="AD128" i="68"/>
  <c r="AC128" i="68"/>
  <c r="AB128" i="68"/>
  <c r="AA128" i="68"/>
  <c r="AH127" i="68"/>
  <c r="AG127" i="68"/>
  <c r="AF127" i="68"/>
  <c r="AE127" i="68"/>
  <c r="AD127" i="68"/>
  <c r="AL127" i="68" s="1"/>
  <c r="AP127" i="68" s="1"/>
  <c r="AC127" i="68"/>
  <c r="AB127" i="68"/>
  <c r="AA127" i="68"/>
  <c r="AH126" i="68"/>
  <c r="AG126" i="68"/>
  <c r="AF126" i="68"/>
  <c r="AE126" i="68"/>
  <c r="AD126" i="68"/>
  <c r="AC126" i="68"/>
  <c r="AB126" i="68"/>
  <c r="AA126" i="68"/>
  <c r="AH125" i="68"/>
  <c r="AG125" i="68"/>
  <c r="AF125" i="68"/>
  <c r="AE125" i="68"/>
  <c r="AD125" i="68"/>
  <c r="AL125" i="68" s="1"/>
  <c r="AP125" i="68" s="1"/>
  <c r="AC125" i="68"/>
  <c r="AB125" i="68"/>
  <c r="AA125" i="68"/>
  <c r="AH124" i="68"/>
  <c r="AG124" i="68"/>
  <c r="AF124" i="68"/>
  <c r="AE124" i="68"/>
  <c r="AD124" i="68"/>
  <c r="AC124" i="68"/>
  <c r="AB124" i="68"/>
  <c r="AA124" i="68"/>
  <c r="AH123" i="68"/>
  <c r="AG123" i="68"/>
  <c r="AF123" i="68"/>
  <c r="AE123" i="68"/>
  <c r="AD123" i="68"/>
  <c r="AC123" i="68"/>
  <c r="AB123" i="68"/>
  <c r="AA123" i="68"/>
  <c r="AI123" i="68" s="1"/>
  <c r="AM123" i="68" s="1"/>
  <c r="AH122" i="68"/>
  <c r="AG122" i="68"/>
  <c r="AF122" i="68"/>
  <c r="AE122" i="68"/>
  <c r="AD122" i="68"/>
  <c r="AC122" i="68"/>
  <c r="AB122" i="68"/>
  <c r="AJ122" i="68" s="1"/>
  <c r="AN122" i="68" s="1"/>
  <c r="AA122" i="68"/>
  <c r="AH121" i="68"/>
  <c r="AG121" i="68"/>
  <c r="AF121" i="68"/>
  <c r="AE121" i="68"/>
  <c r="AD121" i="68"/>
  <c r="AC121" i="68"/>
  <c r="AB121" i="68"/>
  <c r="AA121" i="68"/>
  <c r="AH114" i="68"/>
  <c r="AG114" i="68"/>
  <c r="AF114" i="68"/>
  <c r="AE114" i="68"/>
  <c r="AD114" i="68"/>
  <c r="AC114" i="68"/>
  <c r="AB114" i="68"/>
  <c r="AA114" i="68"/>
  <c r="AH113" i="68"/>
  <c r="AG113" i="68"/>
  <c r="AF113" i="68"/>
  <c r="AE113" i="68"/>
  <c r="AD113" i="68"/>
  <c r="AC113" i="68"/>
  <c r="AB113" i="68"/>
  <c r="AA113" i="68"/>
  <c r="AH112" i="68"/>
  <c r="AG112" i="68"/>
  <c r="AF112" i="68"/>
  <c r="AE112" i="68"/>
  <c r="AD112" i="68"/>
  <c r="AC112" i="68"/>
  <c r="AB112" i="68"/>
  <c r="AA112" i="68"/>
  <c r="AH111" i="68"/>
  <c r="AG111" i="68"/>
  <c r="AF111" i="68"/>
  <c r="AE111" i="68"/>
  <c r="AD111" i="68"/>
  <c r="AC111" i="68"/>
  <c r="AB111" i="68"/>
  <c r="AA111" i="68"/>
  <c r="AH110" i="68"/>
  <c r="AG110" i="68"/>
  <c r="AF110" i="68"/>
  <c r="AE110" i="68"/>
  <c r="AD110" i="68"/>
  <c r="AC110" i="68"/>
  <c r="AB110" i="68"/>
  <c r="AA110" i="68"/>
  <c r="AH109" i="68"/>
  <c r="AG109" i="68"/>
  <c r="AF109" i="68"/>
  <c r="AE109" i="68"/>
  <c r="AD109" i="68"/>
  <c r="AC109" i="68"/>
  <c r="AB109" i="68"/>
  <c r="AA109" i="68"/>
  <c r="AH108" i="68"/>
  <c r="AG108" i="68"/>
  <c r="AF108" i="68"/>
  <c r="AE108" i="68"/>
  <c r="AD108" i="68"/>
  <c r="AC108" i="68"/>
  <c r="AB108" i="68"/>
  <c r="AA108" i="68"/>
  <c r="AH107" i="68"/>
  <c r="AG107" i="68"/>
  <c r="AF107" i="68"/>
  <c r="AE107" i="68"/>
  <c r="AD107" i="68"/>
  <c r="AC107" i="68"/>
  <c r="AB107" i="68"/>
  <c r="AA107" i="68"/>
  <c r="AH106" i="68"/>
  <c r="AG106" i="68"/>
  <c r="AF106" i="68"/>
  <c r="AE106" i="68"/>
  <c r="AD106" i="68"/>
  <c r="AC106" i="68"/>
  <c r="AB106" i="68"/>
  <c r="AA106" i="68"/>
  <c r="AI106" i="68" s="1"/>
  <c r="AM106" i="68" s="1"/>
  <c r="AH105" i="68"/>
  <c r="AG105" i="68"/>
  <c r="AF105" i="68"/>
  <c r="AE105" i="68"/>
  <c r="AD105" i="68"/>
  <c r="AC105" i="68"/>
  <c r="AB105" i="68"/>
  <c r="AJ105" i="68" s="1"/>
  <c r="AN105" i="68" s="1"/>
  <c r="AA105" i="68"/>
  <c r="AH104" i="68"/>
  <c r="AG104" i="68"/>
  <c r="AF104" i="68"/>
  <c r="AE104" i="68"/>
  <c r="AD104" i="68"/>
  <c r="AL104" i="68" s="1"/>
  <c r="AP104" i="68" s="1"/>
  <c r="AC104" i="68"/>
  <c r="AK104" i="68" s="1"/>
  <c r="AO104" i="68" s="1"/>
  <c r="AB104" i="68"/>
  <c r="AA104" i="68"/>
  <c r="AH103" i="68"/>
  <c r="AG103" i="68"/>
  <c r="AF103" i="68"/>
  <c r="AE103" i="68"/>
  <c r="AD103" i="68"/>
  <c r="AL103" i="68" s="1"/>
  <c r="AP103" i="68" s="1"/>
  <c r="AC103" i="68"/>
  <c r="AB103" i="68"/>
  <c r="AA103" i="68"/>
  <c r="AH102" i="68"/>
  <c r="AG102" i="68"/>
  <c r="AF102" i="68"/>
  <c r="AE102" i="68"/>
  <c r="AD102" i="68"/>
  <c r="AC102" i="68"/>
  <c r="AB102" i="68"/>
  <c r="AA102" i="68"/>
  <c r="AH101" i="68"/>
  <c r="AG101" i="68"/>
  <c r="AF101" i="68"/>
  <c r="AE101" i="68"/>
  <c r="AD101" i="68"/>
  <c r="AC101" i="68"/>
  <c r="AB101" i="68"/>
  <c r="AA101" i="68"/>
  <c r="AH94" i="68"/>
  <c r="AG94" i="68"/>
  <c r="AF94" i="68"/>
  <c r="AE94" i="68"/>
  <c r="AD94" i="68"/>
  <c r="AC94" i="68"/>
  <c r="AB94" i="68"/>
  <c r="AJ94" i="68" s="1"/>
  <c r="AN94" i="68" s="1"/>
  <c r="AA94" i="68"/>
  <c r="AI94" i="68" s="1"/>
  <c r="AM94" i="68" s="1"/>
  <c r="AH93" i="68"/>
  <c r="AG93" i="68"/>
  <c r="AF93" i="68"/>
  <c r="AE93" i="68"/>
  <c r="AD93" i="68"/>
  <c r="AC93" i="68"/>
  <c r="AK93" i="68" s="1"/>
  <c r="AO93" i="68" s="1"/>
  <c r="AB93" i="68"/>
  <c r="AJ93" i="68" s="1"/>
  <c r="AN93" i="68" s="1"/>
  <c r="AA93" i="68"/>
  <c r="AH92" i="68"/>
  <c r="AG92" i="68"/>
  <c r="AF92" i="68"/>
  <c r="AE92" i="68"/>
  <c r="AD92" i="68"/>
  <c r="AL92" i="68" s="1"/>
  <c r="AP92" i="68" s="1"/>
  <c r="AC92" i="68"/>
  <c r="AK92" i="68" s="1"/>
  <c r="AO92" i="68" s="1"/>
  <c r="AB92" i="68"/>
  <c r="AJ92" i="68" s="1"/>
  <c r="AN92" i="68" s="1"/>
  <c r="AA92" i="68"/>
  <c r="AI92" i="68" s="1"/>
  <c r="AM92" i="68" s="1"/>
  <c r="AH91" i="68"/>
  <c r="AG91" i="68"/>
  <c r="AF91" i="68"/>
  <c r="AE91" i="68"/>
  <c r="AD91" i="68"/>
  <c r="AL91" i="68" s="1"/>
  <c r="AP91" i="68" s="1"/>
  <c r="AC91" i="68"/>
  <c r="AK91" i="68" s="1"/>
  <c r="AO91" i="68" s="1"/>
  <c r="AB91" i="68"/>
  <c r="AA91" i="68"/>
  <c r="AH90" i="68"/>
  <c r="AG90" i="68"/>
  <c r="AF90" i="68"/>
  <c r="AE90" i="68"/>
  <c r="AD90" i="68"/>
  <c r="AC90" i="68"/>
  <c r="AB90" i="68"/>
  <c r="AA90" i="68"/>
  <c r="AH83" i="68"/>
  <c r="AG83" i="68"/>
  <c r="AF83" i="68"/>
  <c r="AE83" i="68"/>
  <c r="AD83" i="68"/>
  <c r="AC83" i="68"/>
  <c r="AB83" i="68"/>
  <c r="AA83" i="68"/>
  <c r="AH82" i="68"/>
  <c r="AG82" i="68"/>
  <c r="AF82" i="68"/>
  <c r="AJ82" i="68" s="1"/>
  <c r="AN82" i="68" s="1"/>
  <c r="AE82" i="68"/>
  <c r="AD82" i="68"/>
  <c r="AC82" i="68"/>
  <c r="AB82" i="68"/>
  <c r="AA82" i="68"/>
  <c r="AI82" i="68" s="1"/>
  <c r="AM82" i="68" s="1"/>
  <c r="AH81" i="68"/>
  <c r="AG81" i="68"/>
  <c r="AF81" i="68"/>
  <c r="AE81" i="68"/>
  <c r="AD81" i="68"/>
  <c r="AC81" i="68"/>
  <c r="AB81" i="68"/>
  <c r="AJ81" i="68" s="1"/>
  <c r="AN81" i="68" s="1"/>
  <c r="AA81" i="68"/>
  <c r="AI81" i="68" s="1"/>
  <c r="AM81" i="68" s="1"/>
  <c r="AH80" i="68"/>
  <c r="AG80" i="68"/>
  <c r="AF80" i="68"/>
  <c r="AE80" i="68"/>
  <c r="AD80" i="68"/>
  <c r="AC80" i="68"/>
  <c r="AK80" i="68" s="1"/>
  <c r="AO80" i="68" s="1"/>
  <c r="AB80" i="68"/>
  <c r="AJ80" i="68" s="1"/>
  <c r="AN80" i="68" s="1"/>
  <c r="AA80" i="68"/>
  <c r="AH79" i="68"/>
  <c r="AG79" i="68"/>
  <c r="AF79" i="68"/>
  <c r="AE79" i="68"/>
  <c r="AD79" i="68"/>
  <c r="AL79" i="68" s="1"/>
  <c r="AP79" i="68" s="1"/>
  <c r="AC79" i="68"/>
  <c r="AK79" i="68" s="1"/>
  <c r="AO79" i="68" s="1"/>
  <c r="AB79" i="68"/>
  <c r="AA79" i="68"/>
  <c r="AH78" i="68"/>
  <c r="AG78" i="68"/>
  <c r="AF78" i="68"/>
  <c r="AE78" i="68"/>
  <c r="AD78" i="68"/>
  <c r="AL78" i="68" s="1"/>
  <c r="AP78" i="68" s="1"/>
  <c r="AC78" i="68"/>
  <c r="AB78" i="68"/>
  <c r="AA78" i="68"/>
  <c r="AH77" i="68"/>
  <c r="AG77" i="68"/>
  <c r="AF77" i="68"/>
  <c r="AE77" i="68"/>
  <c r="AD77" i="68"/>
  <c r="AC77" i="68"/>
  <c r="AB77" i="68"/>
  <c r="AA77" i="68"/>
  <c r="AH76" i="68"/>
  <c r="AG76" i="68"/>
  <c r="AF76" i="68"/>
  <c r="AE76" i="68"/>
  <c r="AD76" i="68"/>
  <c r="AC76" i="68"/>
  <c r="AB76" i="68"/>
  <c r="AA76" i="68"/>
  <c r="AH75" i="68"/>
  <c r="AG75" i="68"/>
  <c r="AF75" i="68"/>
  <c r="AE75" i="68"/>
  <c r="AD75" i="68"/>
  <c r="AC75" i="68"/>
  <c r="AB75" i="68"/>
  <c r="AA75" i="68"/>
  <c r="AH74" i="68"/>
  <c r="AG74" i="68"/>
  <c r="AF74" i="68"/>
  <c r="AE74" i="68"/>
  <c r="AD74" i="68"/>
  <c r="AC74" i="68"/>
  <c r="AB74" i="68"/>
  <c r="AA74" i="68"/>
  <c r="AI74" i="68" s="1"/>
  <c r="AM74" i="68" s="1"/>
  <c r="AH73" i="68"/>
  <c r="AG73" i="68"/>
  <c r="AF73" i="68"/>
  <c r="AE73" i="68"/>
  <c r="AD73" i="68"/>
  <c r="AC73" i="68"/>
  <c r="AC85" i="68" s="1"/>
  <c r="AB73" i="68"/>
  <c r="AJ73" i="68" s="1"/>
  <c r="AN73" i="68" s="1"/>
  <c r="AA73" i="68"/>
  <c r="AH66" i="68"/>
  <c r="AG66" i="68"/>
  <c r="AF66" i="68"/>
  <c r="AE66" i="68"/>
  <c r="AD66" i="68"/>
  <c r="AC66" i="68"/>
  <c r="AK66" i="68" s="1"/>
  <c r="AO66" i="68" s="1"/>
  <c r="AB66" i="68"/>
  <c r="AA66" i="68"/>
  <c r="AH65" i="68"/>
  <c r="AG65" i="68"/>
  <c r="AF65" i="68"/>
  <c r="AE65" i="68"/>
  <c r="AD65" i="68"/>
  <c r="AL65" i="68" s="1"/>
  <c r="AP65" i="68" s="1"/>
  <c r="AC65" i="68"/>
  <c r="AB65" i="68"/>
  <c r="AA65" i="68"/>
  <c r="AH64" i="68"/>
  <c r="AG64" i="68"/>
  <c r="AF64" i="68"/>
  <c r="AE64" i="68"/>
  <c r="AD64" i="68"/>
  <c r="AC64" i="68"/>
  <c r="AB64" i="68"/>
  <c r="AA64" i="68"/>
  <c r="AH63" i="68"/>
  <c r="AG63" i="68"/>
  <c r="AF63" i="68"/>
  <c r="AE63" i="68"/>
  <c r="AD63" i="68"/>
  <c r="AC63" i="68"/>
  <c r="AB63" i="68"/>
  <c r="AA63" i="68"/>
  <c r="AH62" i="68"/>
  <c r="AG62" i="68"/>
  <c r="AF62" i="68"/>
  <c r="AE62" i="68"/>
  <c r="AD62" i="68"/>
  <c r="AC62" i="68"/>
  <c r="AB62" i="68"/>
  <c r="AA62" i="68"/>
  <c r="AH55" i="68"/>
  <c r="AG55" i="68"/>
  <c r="AF55" i="68"/>
  <c r="AE55" i="68"/>
  <c r="AD55" i="68"/>
  <c r="AC55" i="68"/>
  <c r="AB55" i="68"/>
  <c r="AA55" i="68"/>
  <c r="AH54" i="68"/>
  <c r="AG54" i="68"/>
  <c r="AF54" i="68"/>
  <c r="AE54" i="68"/>
  <c r="AD54" i="68"/>
  <c r="AC54" i="68"/>
  <c r="AB54" i="68"/>
  <c r="AA54" i="68"/>
  <c r="AI54" i="68" s="1"/>
  <c r="AM54" i="68" s="1"/>
  <c r="AH53" i="68"/>
  <c r="AG53" i="68"/>
  <c r="AF53" i="68"/>
  <c r="AE53" i="68"/>
  <c r="AD53" i="68"/>
  <c r="AC53" i="68"/>
  <c r="AB53" i="68"/>
  <c r="AJ53" i="68" s="1"/>
  <c r="AN53" i="68" s="1"/>
  <c r="AA53" i="68"/>
  <c r="AH52" i="68"/>
  <c r="AG52" i="68"/>
  <c r="AF52" i="68"/>
  <c r="AE52" i="68"/>
  <c r="AD52" i="68"/>
  <c r="AC52" i="68"/>
  <c r="AB52" i="68"/>
  <c r="AA52" i="68"/>
  <c r="AH51" i="68"/>
  <c r="AG51" i="68"/>
  <c r="AF51" i="68"/>
  <c r="AE51" i="68"/>
  <c r="AD51" i="68"/>
  <c r="AC51" i="68"/>
  <c r="AB51" i="68"/>
  <c r="AA51" i="68"/>
  <c r="AH50" i="68"/>
  <c r="AG50" i="68"/>
  <c r="AF50" i="68"/>
  <c r="AE50" i="68"/>
  <c r="AD50" i="68"/>
  <c r="AC50" i="68"/>
  <c r="AB50" i="68"/>
  <c r="AA50" i="68"/>
  <c r="AH49" i="68"/>
  <c r="AG49" i="68"/>
  <c r="AF49" i="68"/>
  <c r="AE49" i="68"/>
  <c r="AD49" i="68"/>
  <c r="AC49" i="68"/>
  <c r="AB49" i="68"/>
  <c r="AA49" i="68"/>
  <c r="AH48" i="68"/>
  <c r="AG48" i="68"/>
  <c r="AF48" i="68"/>
  <c r="AE48" i="68"/>
  <c r="AD48" i="68"/>
  <c r="AC48" i="68"/>
  <c r="AB48" i="68"/>
  <c r="AA48" i="68"/>
  <c r="AH47" i="68"/>
  <c r="AG47" i="68"/>
  <c r="AF47" i="68"/>
  <c r="AE47" i="68"/>
  <c r="AD47" i="68"/>
  <c r="AC47" i="68"/>
  <c r="AB47" i="68"/>
  <c r="AA47" i="68"/>
  <c r="AH40" i="68"/>
  <c r="AG40" i="68"/>
  <c r="AF40" i="68"/>
  <c r="AE40" i="68"/>
  <c r="AD40" i="68"/>
  <c r="AC40" i="68"/>
  <c r="AB40" i="68"/>
  <c r="AA40" i="68"/>
  <c r="AH39" i="68"/>
  <c r="AG39" i="68"/>
  <c r="AF39" i="68"/>
  <c r="AE39" i="68"/>
  <c r="AD39" i="68"/>
  <c r="AC39" i="68"/>
  <c r="AK39" i="68" s="1"/>
  <c r="AO39" i="68" s="1"/>
  <c r="AB39" i="68"/>
  <c r="AA39" i="68"/>
  <c r="AH38" i="68"/>
  <c r="AG38" i="68"/>
  <c r="AF38" i="68"/>
  <c r="AE38" i="68"/>
  <c r="AD38" i="68"/>
  <c r="AC38" i="68"/>
  <c r="AB38" i="68"/>
  <c r="AA38" i="68"/>
  <c r="AH37" i="68"/>
  <c r="AG37" i="68"/>
  <c r="AF37" i="68"/>
  <c r="AE37" i="68"/>
  <c r="AD37" i="68"/>
  <c r="AC37" i="68"/>
  <c r="AB37" i="68"/>
  <c r="AA37" i="68"/>
  <c r="AH36" i="68"/>
  <c r="AG36" i="68"/>
  <c r="AF36" i="68"/>
  <c r="AE36" i="68"/>
  <c r="AD36" i="68"/>
  <c r="AC36" i="68"/>
  <c r="AB36" i="68"/>
  <c r="AA36" i="68"/>
  <c r="AH35" i="68"/>
  <c r="AG35" i="68"/>
  <c r="AF35" i="68"/>
  <c r="AE35" i="68"/>
  <c r="AD35" i="68"/>
  <c r="AL35" i="68" s="1"/>
  <c r="AP35" i="68" s="1"/>
  <c r="AC35" i="68"/>
  <c r="AB35" i="68"/>
  <c r="AA35" i="68"/>
  <c r="AH34" i="68"/>
  <c r="AG34" i="68"/>
  <c r="AF34" i="68"/>
  <c r="AE34" i="68"/>
  <c r="AD34" i="68"/>
  <c r="AC34" i="68"/>
  <c r="AB34" i="68"/>
  <c r="AA34" i="68"/>
  <c r="AH33" i="68"/>
  <c r="AG33" i="68"/>
  <c r="AF33" i="68"/>
  <c r="AE33" i="68"/>
  <c r="AD33" i="68"/>
  <c r="AC33" i="68"/>
  <c r="AB33" i="68"/>
  <c r="AA33" i="68"/>
  <c r="AH32" i="68"/>
  <c r="AG32" i="68"/>
  <c r="AF32" i="68"/>
  <c r="AE32" i="68"/>
  <c r="AD32" i="68"/>
  <c r="AC32" i="68"/>
  <c r="AB32" i="68"/>
  <c r="AA32" i="68"/>
  <c r="AH31" i="68"/>
  <c r="AG31" i="68"/>
  <c r="AF31" i="68"/>
  <c r="AE31" i="68"/>
  <c r="AD31" i="68"/>
  <c r="AC31" i="68"/>
  <c r="AB31" i="68"/>
  <c r="AA31" i="68"/>
  <c r="AH30" i="68"/>
  <c r="AG30" i="68"/>
  <c r="AF30" i="68"/>
  <c r="AE30" i="68"/>
  <c r="AD30" i="68"/>
  <c r="AC30" i="68"/>
  <c r="AB30" i="68"/>
  <c r="AA30" i="68"/>
  <c r="AI30" i="68" s="1"/>
  <c r="AM30" i="68" s="1"/>
  <c r="AH29" i="68"/>
  <c r="AG29" i="68"/>
  <c r="AF29" i="68"/>
  <c r="AE29" i="68"/>
  <c r="AD29" i="68"/>
  <c r="AC29" i="68"/>
  <c r="AB29" i="68"/>
  <c r="AJ29" i="68" s="1"/>
  <c r="AN29" i="68" s="1"/>
  <c r="AA29" i="68"/>
  <c r="AH28" i="68"/>
  <c r="AG28" i="68"/>
  <c r="AF28" i="68"/>
  <c r="AE28" i="68"/>
  <c r="AD28" i="68"/>
  <c r="AC28" i="68"/>
  <c r="AK28" i="68" s="1"/>
  <c r="AO28" i="68" s="1"/>
  <c r="AB28" i="68"/>
  <c r="AA28" i="68"/>
  <c r="AH27" i="68"/>
  <c r="AG27" i="68"/>
  <c r="AF27" i="68"/>
  <c r="AE27" i="68"/>
  <c r="AD27" i="68"/>
  <c r="AL27" i="68" s="1"/>
  <c r="AP27" i="68" s="1"/>
  <c r="AC27" i="68"/>
  <c r="AB27" i="68"/>
  <c r="AA27" i="68"/>
  <c r="AH26" i="68"/>
  <c r="AG26" i="68"/>
  <c r="AF26" i="68"/>
  <c r="AE26" i="68"/>
  <c r="AD26" i="68"/>
  <c r="AD20" i="68" s="1"/>
  <c r="AL20" i="68" s="1"/>
  <c r="AP20" i="68" s="1"/>
  <c r="AC26" i="68"/>
  <c r="AB26" i="68"/>
  <c r="AA26" i="68"/>
  <c r="AY20" i="68"/>
  <c r="AZ20" i="68" s="1"/>
  <c r="AW20" i="68"/>
  <c r="AX20" i="68" s="1"/>
  <c r="AR20" i="68"/>
  <c r="AS20" i="68" s="1"/>
  <c r="AI20" i="68"/>
  <c r="AM20" i="68" s="1"/>
  <c r="AH17" i="68"/>
  <c r="AF17" i="68"/>
  <c r="AC17" i="68"/>
  <c r="AH16" i="68"/>
  <c r="AB16" i="68"/>
  <c r="AA16" i="68"/>
  <c r="AL310" i="68" l="1"/>
  <c r="AP310" i="68" s="1"/>
  <c r="AL186" i="68"/>
  <c r="AP186" i="68" s="1"/>
  <c r="AL130" i="68"/>
  <c r="AP130" i="68" s="1"/>
  <c r="AL131" i="68"/>
  <c r="AP131" i="68" s="1"/>
  <c r="AL138" i="68"/>
  <c r="AP138" i="68" s="1"/>
  <c r="AL165" i="68"/>
  <c r="AP165" i="68" s="1"/>
  <c r="AD85" i="68"/>
  <c r="AC20" i="68"/>
  <c r="AK20" i="68" s="1"/>
  <c r="AO20" i="68" s="1"/>
  <c r="AK153" i="68"/>
  <c r="AO153" i="68" s="1"/>
  <c r="AF177" i="68"/>
  <c r="AF11" i="68" s="1"/>
  <c r="AI16" i="68"/>
  <c r="AM16" i="68" s="1"/>
  <c r="AC16" i="68"/>
  <c r="AK40" i="68"/>
  <c r="AO40" i="68" s="1"/>
  <c r="AI48" i="68"/>
  <c r="AM48" i="68" s="1"/>
  <c r="AL52" i="68"/>
  <c r="AP52" i="68" s="1"/>
  <c r="AI223" i="68"/>
  <c r="AM223" i="68" s="1"/>
  <c r="AL227" i="68"/>
  <c r="AP227" i="68" s="1"/>
  <c r="AJ229" i="68"/>
  <c r="AN229" i="68" s="1"/>
  <c r="AH312" i="68"/>
  <c r="AH19" i="68" s="1"/>
  <c r="AL309" i="68"/>
  <c r="AP309" i="68" s="1"/>
  <c r="AK310" i="68"/>
  <c r="AO310" i="68" s="1"/>
  <c r="AI148" i="68"/>
  <c r="AM148" i="68" s="1"/>
  <c r="AL149" i="68"/>
  <c r="AP149" i="68" s="1"/>
  <c r="AK154" i="68"/>
  <c r="AO154" i="68" s="1"/>
  <c r="AJ155" i="68"/>
  <c r="AN155" i="68" s="1"/>
  <c r="AI156" i="68"/>
  <c r="AM156" i="68" s="1"/>
  <c r="AK188" i="68"/>
  <c r="AO188" i="68" s="1"/>
  <c r="AI190" i="68"/>
  <c r="AM190" i="68" s="1"/>
  <c r="AL297" i="68"/>
  <c r="AP297" i="68" s="1"/>
  <c r="AK298" i="68"/>
  <c r="AO298" i="68" s="1"/>
  <c r="AJ299" i="68"/>
  <c r="AN299" i="68" s="1"/>
  <c r="AI306" i="68"/>
  <c r="AM306" i="68" s="1"/>
  <c r="AK132" i="68"/>
  <c r="AO132" i="68" s="1"/>
  <c r="AJ133" i="68"/>
  <c r="AN133" i="68" s="1"/>
  <c r="AI134" i="68"/>
  <c r="AM134" i="68" s="1"/>
  <c r="AK139" i="68"/>
  <c r="AO139" i="68" s="1"/>
  <c r="AI293" i="68"/>
  <c r="AM293" i="68" s="1"/>
  <c r="AL207" i="68"/>
  <c r="AP207" i="68" s="1"/>
  <c r="AJ222" i="68"/>
  <c r="AN222" i="68" s="1"/>
  <c r="AD16" i="68"/>
  <c r="AT16" i="68" s="1"/>
  <c r="AU16" i="68" s="1"/>
  <c r="AJ189" i="68"/>
  <c r="AN189" i="68" s="1"/>
  <c r="AL194" i="68"/>
  <c r="AP194" i="68" s="1"/>
  <c r="AE271" i="68"/>
  <c r="AE15" i="68" s="1"/>
  <c r="AK27" i="68"/>
  <c r="AO27" i="68" s="1"/>
  <c r="AI29" i="68"/>
  <c r="AM29" i="68" s="1"/>
  <c r="AL34" i="68"/>
  <c r="AP34" i="68" s="1"/>
  <c r="AK35" i="68"/>
  <c r="AO35" i="68" s="1"/>
  <c r="AJ36" i="68"/>
  <c r="AN36" i="68" s="1"/>
  <c r="AI37" i="68"/>
  <c r="AM37" i="68" s="1"/>
  <c r="AL48" i="68"/>
  <c r="AP48" i="68" s="1"/>
  <c r="AJ49" i="68"/>
  <c r="AN49" i="68" s="1"/>
  <c r="AI50" i="68"/>
  <c r="AM50" i="68" s="1"/>
  <c r="AL102" i="68"/>
  <c r="AP102" i="68" s="1"/>
  <c r="AK103" i="68"/>
  <c r="AO103" i="68" s="1"/>
  <c r="AJ104" i="68"/>
  <c r="AN104" i="68" s="1"/>
  <c r="AI105" i="68"/>
  <c r="AM105" i="68" s="1"/>
  <c r="AL110" i="68"/>
  <c r="AP110" i="68" s="1"/>
  <c r="AK111" i="68"/>
  <c r="AO111" i="68" s="1"/>
  <c r="AJ112" i="68"/>
  <c r="AN112" i="68" s="1"/>
  <c r="AI113" i="68"/>
  <c r="AM113" i="68" s="1"/>
  <c r="AJ232" i="68"/>
  <c r="AN232" i="68" s="1"/>
  <c r="AI233" i="68"/>
  <c r="AM233" i="68" s="1"/>
  <c r="AJ257" i="68"/>
  <c r="AN257" i="68" s="1"/>
  <c r="AL259" i="68"/>
  <c r="AP259" i="68" s="1"/>
  <c r="AK260" i="68"/>
  <c r="AO260" i="68" s="1"/>
  <c r="AI262" i="68"/>
  <c r="AM262" i="68" s="1"/>
  <c r="AG177" i="68"/>
  <c r="AG11" i="68" s="1"/>
  <c r="AY11" i="68" s="1"/>
  <c r="AZ11" i="68" s="1"/>
  <c r="AK53" i="68"/>
  <c r="AO53" i="68" s="1"/>
  <c r="AH67" i="68"/>
  <c r="AH6" i="68" s="1"/>
  <c r="AC7" i="68"/>
  <c r="AI75" i="68"/>
  <c r="AM75" i="68" s="1"/>
  <c r="AK81" i="68"/>
  <c r="AO81" i="68" s="1"/>
  <c r="AK122" i="68"/>
  <c r="AO122" i="68" s="1"/>
  <c r="AJ123" i="68"/>
  <c r="AN123" i="68" s="1"/>
  <c r="AL128" i="68"/>
  <c r="AP128" i="68" s="1"/>
  <c r="AJ130" i="68"/>
  <c r="AN130" i="68" s="1"/>
  <c r="AL136" i="68"/>
  <c r="AP136" i="68" s="1"/>
  <c r="AK137" i="68"/>
  <c r="AO137" i="68" s="1"/>
  <c r="AJ138" i="68"/>
  <c r="AN138" i="68" s="1"/>
  <c r="AL139" i="68"/>
  <c r="AP139" i="68" s="1"/>
  <c r="AL150" i="68"/>
  <c r="AP150" i="68" s="1"/>
  <c r="AJ152" i="68"/>
  <c r="AN152" i="68" s="1"/>
  <c r="AK159" i="68"/>
  <c r="AO159" i="68" s="1"/>
  <c r="AL185" i="68"/>
  <c r="AP185" i="68" s="1"/>
  <c r="AI194" i="68"/>
  <c r="AM194" i="68" s="1"/>
  <c r="AK219" i="68"/>
  <c r="AO219" i="68" s="1"/>
  <c r="AJ220" i="68"/>
  <c r="AN220" i="68" s="1"/>
  <c r="AI234" i="68"/>
  <c r="AM234" i="68" s="1"/>
  <c r="AI249" i="68"/>
  <c r="AM249" i="68" s="1"/>
  <c r="AI263" i="68"/>
  <c r="AM263" i="68" s="1"/>
  <c r="AJ293" i="68"/>
  <c r="AN293" i="68" s="1"/>
  <c r="AI294" i="68"/>
  <c r="AM294" i="68" s="1"/>
  <c r="AJ26" i="68"/>
  <c r="AN26" i="68" s="1"/>
  <c r="AI27" i="68"/>
  <c r="AM27" i="68" s="1"/>
  <c r="AL32" i="68"/>
  <c r="AP32" i="68" s="1"/>
  <c r="AK33" i="68"/>
  <c r="AO33" i="68" s="1"/>
  <c r="AJ34" i="68"/>
  <c r="AN34" i="68" s="1"/>
  <c r="AI35" i="68"/>
  <c r="AM35" i="68" s="1"/>
  <c r="AL40" i="68"/>
  <c r="AP40" i="68" s="1"/>
  <c r="AJ48" i="68"/>
  <c r="AN48" i="68" s="1"/>
  <c r="AL53" i="68"/>
  <c r="AP53" i="68" s="1"/>
  <c r="AK54" i="68"/>
  <c r="AO54" i="68" s="1"/>
  <c r="AJ55" i="68"/>
  <c r="AN55" i="68" s="1"/>
  <c r="AA67" i="68"/>
  <c r="AA6" i="68" s="1"/>
  <c r="AK74" i="68"/>
  <c r="AO74" i="68" s="1"/>
  <c r="AJ75" i="68"/>
  <c r="AN75" i="68" s="1"/>
  <c r="AI76" i="68"/>
  <c r="AM76" i="68" s="1"/>
  <c r="AL81" i="68"/>
  <c r="AP81" i="68" s="1"/>
  <c r="AK82" i="68"/>
  <c r="AO82" i="68" s="1"/>
  <c r="AI83" i="68"/>
  <c r="AM83" i="68" s="1"/>
  <c r="AL108" i="68"/>
  <c r="AP108" i="68" s="1"/>
  <c r="AK109" i="68"/>
  <c r="AO109" i="68" s="1"/>
  <c r="AJ110" i="68"/>
  <c r="AN110" i="68" s="1"/>
  <c r="AI111" i="68"/>
  <c r="AM111" i="68" s="1"/>
  <c r="AL122" i="68"/>
  <c r="AP122" i="68" s="1"/>
  <c r="AK123" i="68"/>
  <c r="AO123" i="68" s="1"/>
  <c r="AJ124" i="68"/>
  <c r="AN124" i="68" s="1"/>
  <c r="AI125" i="68"/>
  <c r="AM125" i="68" s="1"/>
  <c r="AJ127" i="68"/>
  <c r="AN127" i="68" s="1"/>
  <c r="AL129" i="68"/>
  <c r="AP129" i="68" s="1"/>
  <c r="AJ135" i="68"/>
  <c r="AN135" i="68" s="1"/>
  <c r="AL137" i="68"/>
  <c r="AP137" i="68" s="1"/>
  <c r="AK138" i="68"/>
  <c r="AO138" i="68" s="1"/>
  <c r="AI139" i="68"/>
  <c r="AM139" i="68" s="1"/>
  <c r="AL166" i="68"/>
  <c r="AP166" i="68" s="1"/>
  <c r="AK167" i="68"/>
  <c r="AO167" i="68" s="1"/>
  <c r="AJ174" i="68"/>
  <c r="AN174" i="68" s="1"/>
  <c r="AI175" i="68"/>
  <c r="AM175" i="68" s="1"/>
  <c r="AL192" i="68"/>
  <c r="AP192" i="68" s="1"/>
  <c r="AJ194" i="68"/>
  <c r="AN194" i="68" s="1"/>
  <c r="AL195" i="68"/>
  <c r="AP195" i="68" s="1"/>
  <c r="AJ207" i="68"/>
  <c r="AN207" i="68" s="1"/>
  <c r="AL209" i="68"/>
  <c r="AP209" i="68" s="1"/>
  <c r="AJ230" i="68"/>
  <c r="AN230" i="68" s="1"/>
  <c r="AL232" i="68"/>
  <c r="AP232" i="68" s="1"/>
  <c r="AK233" i="68"/>
  <c r="AO233" i="68" s="1"/>
  <c r="AI236" i="68"/>
  <c r="AM236" i="68" s="1"/>
  <c r="AJ249" i="68"/>
  <c r="AN249" i="68" s="1"/>
  <c r="AL261" i="68"/>
  <c r="AP261" i="68" s="1"/>
  <c r="AI277" i="68"/>
  <c r="AM277" i="68" s="1"/>
  <c r="AG285" i="68"/>
  <c r="AG17" i="68" s="1"/>
  <c r="AK17" i="68" s="1"/>
  <c r="AO17" i="68" s="1"/>
  <c r="AL292" i="68"/>
  <c r="AP292" i="68" s="1"/>
  <c r="AI295" i="68"/>
  <c r="AM295" i="68" s="1"/>
  <c r="AL299" i="68"/>
  <c r="AP299" i="68" s="1"/>
  <c r="AJ54" i="68"/>
  <c r="AN54" i="68" s="1"/>
  <c r="AI55" i="68"/>
  <c r="AM55" i="68" s="1"/>
  <c r="AD67" i="68"/>
  <c r="AB7" i="68"/>
  <c r="AL80" i="68"/>
  <c r="AP80" i="68" s="1"/>
  <c r="AI110" i="68"/>
  <c r="AM110" i="68" s="1"/>
  <c r="AI124" i="68"/>
  <c r="AM124" i="68" s="1"/>
  <c r="AK129" i="68"/>
  <c r="AO129" i="68" s="1"/>
  <c r="AK143" i="68"/>
  <c r="AO143" i="68" s="1"/>
  <c r="AK151" i="68"/>
  <c r="AO151" i="68" s="1"/>
  <c r="AI153" i="68"/>
  <c r="AM153" i="68" s="1"/>
  <c r="AL158" i="68"/>
  <c r="AP158" i="68" s="1"/>
  <c r="AI160" i="68"/>
  <c r="AM160" i="68" s="1"/>
  <c r="AJ167" i="68"/>
  <c r="AN167" i="68" s="1"/>
  <c r="AK176" i="68"/>
  <c r="AO176" i="68" s="1"/>
  <c r="AL218" i="68"/>
  <c r="AP218" i="68" s="1"/>
  <c r="AL231" i="68"/>
  <c r="AP231" i="68" s="1"/>
  <c r="AK232" i="68"/>
  <c r="AO232" i="68" s="1"/>
  <c r="AJ233" i="68"/>
  <c r="AN233" i="68" s="1"/>
  <c r="AL260" i="68"/>
  <c r="AP260" i="68" s="1"/>
  <c r="AK261" i="68"/>
  <c r="AO261" i="68" s="1"/>
  <c r="AJ262" i="68"/>
  <c r="AN262" i="68" s="1"/>
  <c r="AK292" i="68"/>
  <c r="AO292" i="68" s="1"/>
  <c r="AJ306" i="68"/>
  <c r="AN306" i="68" s="1"/>
  <c r="AJ311" i="68"/>
  <c r="AN311" i="68" s="1"/>
  <c r="AJ27" i="68"/>
  <c r="AN27" i="68" s="1"/>
  <c r="AI28" i="68"/>
  <c r="AM28" i="68" s="1"/>
  <c r="AL33" i="68"/>
  <c r="AP33" i="68" s="1"/>
  <c r="AK34" i="68"/>
  <c r="AO34" i="68" s="1"/>
  <c r="AJ35" i="68"/>
  <c r="AN35" i="68" s="1"/>
  <c r="AI36" i="68"/>
  <c r="AM36" i="68" s="1"/>
  <c r="AK48" i="68"/>
  <c r="AO48" i="68" s="1"/>
  <c r="AI49" i="68"/>
  <c r="AM49" i="68" s="1"/>
  <c r="AB67" i="68"/>
  <c r="AB6" i="68" s="1"/>
  <c r="AI63" i="68"/>
  <c r="AM63" i="68" s="1"/>
  <c r="AL74" i="68"/>
  <c r="AP74" i="68" s="1"/>
  <c r="AK102" i="68"/>
  <c r="AO102" i="68" s="1"/>
  <c r="AJ103" i="68"/>
  <c r="AN103" i="68" s="1"/>
  <c r="AI104" i="68"/>
  <c r="AM104" i="68" s="1"/>
  <c r="AL109" i="68"/>
  <c r="AP109" i="68" s="1"/>
  <c r="AK110" i="68"/>
  <c r="AO110" i="68" s="1"/>
  <c r="AJ111" i="68"/>
  <c r="AN111" i="68" s="1"/>
  <c r="AI112" i="68"/>
  <c r="AM112" i="68" s="1"/>
  <c r="AL123" i="68"/>
  <c r="AP123" i="68" s="1"/>
  <c r="AK124" i="68"/>
  <c r="AO124" i="68" s="1"/>
  <c r="AJ125" i="68"/>
  <c r="AN125" i="68" s="1"/>
  <c r="AK131" i="68"/>
  <c r="AO131" i="68" s="1"/>
  <c r="AJ132" i="68"/>
  <c r="AN132" i="68" s="1"/>
  <c r="AI133" i="68"/>
  <c r="AM133" i="68" s="1"/>
  <c r="AJ139" i="68"/>
  <c r="AN139" i="68" s="1"/>
  <c r="AK149" i="68"/>
  <c r="AO149" i="68" s="1"/>
  <c r="AJ150" i="68"/>
  <c r="AN150" i="68" s="1"/>
  <c r="AI155" i="68"/>
  <c r="AM155" i="68" s="1"/>
  <c r="AK157" i="68"/>
  <c r="AO157" i="68" s="1"/>
  <c r="AJ158" i="68"/>
  <c r="AN158" i="68" s="1"/>
  <c r="AL167" i="68"/>
  <c r="AP167" i="68" s="1"/>
  <c r="AL193" i="68"/>
  <c r="AP193" i="68" s="1"/>
  <c r="AK194" i="68"/>
  <c r="AO194" i="68" s="1"/>
  <c r="AK207" i="68"/>
  <c r="AO207" i="68" s="1"/>
  <c r="AJ208" i="68"/>
  <c r="AN208" i="68" s="1"/>
  <c r="AI209" i="68"/>
  <c r="AM209" i="68" s="1"/>
  <c r="AL226" i="68"/>
  <c r="AP226" i="68" s="1"/>
  <c r="AK227" i="68"/>
  <c r="AO227" i="68" s="1"/>
  <c r="AJ228" i="68"/>
  <c r="AN228" i="68" s="1"/>
  <c r="AI229" i="68"/>
  <c r="AM229" i="68" s="1"/>
  <c r="AI243" i="68"/>
  <c r="AM243" i="68" s="1"/>
  <c r="AK249" i="68"/>
  <c r="AO249" i="68" s="1"/>
  <c r="AJ256" i="68"/>
  <c r="AN256" i="68" s="1"/>
  <c r="AI257" i="68"/>
  <c r="AM257" i="68" s="1"/>
  <c r="AL269" i="68"/>
  <c r="AP269" i="68" s="1"/>
  <c r="AK270" i="68"/>
  <c r="AO270" i="68" s="1"/>
  <c r="AJ277" i="68"/>
  <c r="AN277" i="68" s="1"/>
  <c r="AL293" i="68"/>
  <c r="AP293" i="68" s="1"/>
  <c r="AK294" i="68"/>
  <c r="AO294" i="68" s="1"/>
  <c r="AJ295" i="68"/>
  <c r="AN295" i="68" s="1"/>
  <c r="AL296" i="68"/>
  <c r="AP296" i="68" s="1"/>
  <c r="AY16" i="68"/>
  <c r="AZ16" i="68" s="1"/>
  <c r="AC56" i="68"/>
  <c r="AC5" i="68" s="1"/>
  <c r="AG67" i="68"/>
  <c r="AG6" i="68" s="1"/>
  <c r="AJ74" i="68"/>
  <c r="AN74" i="68" s="1"/>
  <c r="AF115" i="68"/>
  <c r="AF9" i="68" s="1"/>
  <c r="AI177" i="68"/>
  <c r="AM177" i="68" s="1"/>
  <c r="AK85" i="68"/>
  <c r="AO85" i="68" s="1"/>
  <c r="AR16" i="68"/>
  <c r="AS16" i="68" s="1"/>
  <c r="AE56" i="68"/>
  <c r="AE5" i="68" s="1"/>
  <c r="AR6" i="68"/>
  <c r="AS6" i="68" s="1"/>
  <c r="AK16" i="68"/>
  <c r="AO16" i="68" s="1"/>
  <c r="AL28" i="68"/>
  <c r="AP28" i="68" s="1"/>
  <c r="AK29" i="68"/>
  <c r="AO29" i="68" s="1"/>
  <c r="AJ30" i="68"/>
  <c r="AN30" i="68" s="1"/>
  <c r="AI31" i="68"/>
  <c r="AM31" i="68" s="1"/>
  <c r="AL36" i="68"/>
  <c r="AP36" i="68" s="1"/>
  <c r="AK37" i="68"/>
  <c r="AO37" i="68" s="1"/>
  <c r="AJ38" i="68"/>
  <c r="AN38" i="68" s="1"/>
  <c r="AI39" i="68"/>
  <c r="AM39" i="68" s="1"/>
  <c r="AF56" i="68"/>
  <c r="AF5" i="68" s="1"/>
  <c r="AJ50" i="68"/>
  <c r="AN50" i="68" s="1"/>
  <c r="AL54" i="68"/>
  <c r="AP54" i="68" s="1"/>
  <c r="AK55" i="68"/>
  <c r="AO55" i="68" s="1"/>
  <c r="AE7" i="68"/>
  <c r="AK161" i="68"/>
  <c r="AO161" i="68" s="1"/>
  <c r="AD95" i="68"/>
  <c r="AD8" i="68" s="1"/>
  <c r="AI6" i="68"/>
  <c r="AM6" i="68" s="1"/>
  <c r="AL29" i="68"/>
  <c r="AP29" i="68" s="1"/>
  <c r="AK30" i="68"/>
  <c r="AO30" i="68" s="1"/>
  <c r="AJ31" i="68"/>
  <c r="AN31" i="68" s="1"/>
  <c r="AI32" i="68"/>
  <c r="AM32" i="68" s="1"/>
  <c r="AL37" i="68"/>
  <c r="AP37" i="68" s="1"/>
  <c r="AK38" i="68"/>
  <c r="AO38" i="68" s="1"/>
  <c r="AJ39" i="68"/>
  <c r="AN39" i="68" s="1"/>
  <c r="AL49" i="68"/>
  <c r="AP49" i="68" s="1"/>
  <c r="AK50" i="68"/>
  <c r="AO50" i="68" s="1"/>
  <c r="AJ51" i="68"/>
  <c r="AN51" i="68" s="1"/>
  <c r="AI52" i="68"/>
  <c r="AM52" i="68" s="1"/>
  <c r="AL55" i="68"/>
  <c r="AP55" i="68" s="1"/>
  <c r="AC67" i="68"/>
  <c r="AC6" i="68" s="1"/>
  <c r="AK6" i="68" s="1"/>
  <c r="AO6" i="68" s="1"/>
  <c r="AA285" i="68"/>
  <c r="AF300" i="68"/>
  <c r="AF18" i="68" s="1"/>
  <c r="AY6" i="68"/>
  <c r="AZ6" i="68" s="1"/>
  <c r="AK31" i="68"/>
  <c r="AO31" i="68" s="1"/>
  <c r="AL38" i="68"/>
  <c r="AP38" i="68" s="1"/>
  <c r="AH56" i="68"/>
  <c r="AH5" i="68" s="1"/>
  <c r="AL50" i="68"/>
  <c r="AP50" i="68" s="1"/>
  <c r="AJ52" i="68"/>
  <c r="AN52" i="68" s="1"/>
  <c r="AK101" i="68"/>
  <c r="AO101" i="68" s="1"/>
  <c r="AE168" i="68"/>
  <c r="AE10" i="68" s="1"/>
  <c r="AK221" i="68"/>
  <c r="AO221" i="68" s="1"/>
  <c r="AL263" i="68"/>
  <c r="AP263" i="68" s="1"/>
  <c r="AB41" i="68"/>
  <c r="AG115" i="68"/>
  <c r="AG9" i="68" s="1"/>
  <c r="AL30" i="68"/>
  <c r="AP30" i="68" s="1"/>
  <c r="AJ32" i="68"/>
  <c r="AN32" i="68" s="1"/>
  <c r="AI33" i="68"/>
  <c r="AM33" i="68" s="1"/>
  <c r="AI40" i="68"/>
  <c r="AM40" i="68" s="1"/>
  <c r="AK51" i="68"/>
  <c r="AO51" i="68" s="1"/>
  <c r="AL62" i="68"/>
  <c r="AP62" i="68" s="1"/>
  <c r="AA41" i="68"/>
  <c r="AA4" i="68" s="1"/>
  <c r="AL31" i="68"/>
  <c r="AP31" i="68" s="1"/>
  <c r="AK32" i="68"/>
  <c r="AO32" i="68" s="1"/>
  <c r="AJ33" i="68"/>
  <c r="AN33" i="68" s="1"/>
  <c r="AI34" i="68"/>
  <c r="AM34" i="68" s="1"/>
  <c r="AL39" i="68"/>
  <c r="AP39" i="68" s="1"/>
  <c r="AJ40" i="68"/>
  <c r="AN40" i="68" s="1"/>
  <c r="AA56" i="68"/>
  <c r="AL51" i="68"/>
  <c r="AP51" i="68" s="1"/>
  <c r="AK52" i="68"/>
  <c r="AO52" i="68" s="1"/>
  <c r="AI53" i="68"/>
  <c r="AM53" i="68" s="1"/>
  <c r="AE67" i="68"/>
  <c r="AE6" i="68" s="1"/>
  <c r="AL63" i="68"/>
  <c r="AP63" i="68" s="1"/>
  <c r="AJ296" i="68"/>
  <c r="AN296" i="68" s="1"/>
  <c r="AH115" i="68"/>
  <c r="AH9" i="68" s="1"/>
  <c r="AF168" i="68"/>
  <c r="AF10" i="68" s="1"/>
  <c r="AG250" i="68"/>
  <c r="AG14" i="68" s="1"/>
  <c r="AB285" i="68"/>
  <c r="AA312" i="68"/>
  <c r="AJ63" i="68"/>
  <c r="AN63" i="68" s="1"/>
  <c r="AI64" i="68"/>
  <c r="AM64" i="68" s="1"/>
  <c r="AK75" i="68"/>
  <c r="AO75" i="68" s="1"/>
  <c r="AJ76" i="68"/>
  <c r="AN76" i="68" s="1"/>
  <c r="AI77" i="68"/>
  <c r="AM77" i="68" s="1"/>
  <c r="AL82" i="68"/>
  <c r="AP82" i="68" s="1"/>
  <c r="AJ83" i="68"/>
  <c r="AN83" i="68" s="1"/>
  <c r="AH95" i="68"/>
  <c r="AH8" i="68" s="1"/>
  <c r="AL93" i="68"/>
  <c r="AP93" i="68" s="1"/>
  <c r="AK94" i="68"/>
  <c r="AO94" i="68" s="1"/>
  <c r="AI101" i="68"/>
  <c r="AM101" i="68" s="1"/>
  <c r="AJ106" i="68"/>
  <c r="AN106" i="68" s="1"/>
  <c r="AL111" i="68"/>
  <c r="AP111" i="68" s="1"/>
  <c r="AK112" i="68"/>
  <c r="AO112" i="68" s="1"/>
  <c r="AJ113" i="68"/>
  <c r="AN113" i="68" s="1"/>
  <c r="AI114" i="68"/>
  <c r="AM114" i="68" s="1"/>
  <c r="AL124" i="68"/>
  <c r="AP124" i="68" s="1"/>
  <c r="AK125" i="68"/>
  <c r="AO125" i="68" s="1"/>
  <c r="AI126" i="68"/>
  <c r="AM126" i="68" s="1"/>
  <c r="AK130" i="68"/>
  <c r="AO130" i="68" s="1"/>
  <c r="AI131" i="68"/>
  <c r="AM131" i="68" s="1"/>
  <c r="AK134" i="68"/>
  <c r="AO134" i="68" s="1"/>
  <c r="AL143" i="68"/>
  <c r="AP143" i="68" s="1"/>
  <c r="AI145" i="68"/>
  <c r="AM145" i="68" s="1"/>
  <c r="AL148" i="68"/>
  <c r="AP148" i="68" s="1"/>
  <c r="AJ149" i="68"/>
  <c r="AN149" i="68" s="1"/>
  <c r="AL151" i="68"/>
  <c r="AP151" i="68" s="1"/>
  <c r="AK152" i="68"/>
  <c r="AO152" i="68" s="1"/>
  <c r="AJ153" i="68"/>
  <c r="AN153" i="68" s="1"/>
  <c r="AJ160" i="68"/>
  <c r="AN160" i="68" s="1"/>
  <c r="AI161" i="68"/>
  <c r="AM161" i="68" s="1"/>
  <c r="AK174" i="68"/>
  <c r="AO174" i="68" s="1"/>
  <c r="AI195" i="68"/>
  <c r="AM195" i="68" s="1"/>
  <c r="AJ205" i="68"/>
  <c r="AN205" i="68" s="1"/>
  <c r="AL206" i="68"/>
  <c r="AP206" i="68" s="1"/>
  <c r="AK208" i="68"/>
  <c r="AO208" i="68" s="1"/>
  <c r="AJ209" i="68"/>
  <c r="AN209" i="68" s="1"/>
  <c r="AL219" i="68"/>
  <c r="AP219" i="68" s="1"/>
  <c r="AI221" i="68"/>
  <c r="AM221" i="68" s="1"/>
  <c r="AK224" i="68"/>
  <c r="AO224" i="68" s="1"/>
  <c r="AJ225" i="68"/>
  <c r="AN225" i="68" s="1"/>
  <c r="AL229" i="68"/>
  <c r="AP229" i="68" s="1"/>
  <c r="AJ235" i="68"/>
  <c r="AN235" i="68" s="1"/>
  <c r="AJ236" i="68"/>
  <c r="AN236" i="68" s="1"/>
  <c r="AI237" i="68"/>
  <c r="AM237" i="68" s="1"/>
  <c r="AL239" i="68"/>
  <c r="AP239" i="68" s="1"/>
  <c r="AL244" i="68"/>
  <c r="AP244" i="68" s="1"/>
  <c r="AJ245" i="68"/>
  <c r="AN245" i="68" s="1"/>
  <c r="AK256" i="68"/>
  <c r="AO256" i="68" s="1"/>
  <c r="AK262" i="68"/>
  <c r="AO262" i="68" s="1"/>
  <c r="AL266" i="68"/>
  <c r="AP266" i="68" s="1"/>
  <c r="AK267" i="68"/>
  <c r="AO267" i="68" s="1"/>
  <c r="AJ268" i="68"/>
  <c r="AN268" i="68" s="1"/>
  <c r="AI269" i="68"/>
  <c r="AM269" i="68" s="1"/>
  <c r="AD285" i="68"/>
  <c r="AD17" i="68" s="1"/>
  <c r="AL17" i="68" s="1"/>
  <c r="AP17" i="68" s="1"/>
  <c r="AK284" i="68"/>
  <c r="AO284" i="68" s="1"/>
  <c r="AL294" i="68"/>
  <c r="AP294" i="68" s="1"/>
  <c r="AI296" i="68"/>
  <c r="AM296" i="68" s="1"/>
  <c r="AK306" i="68"/>
  <c r="AO306" i="68" s="1"/>
  <c r="AI65" i="68"/>
  <c r="AM65" i="68" s="1"/>
  <c r="AG7" i="68"/>
  <c r="AL75" i="68"/>
  <c r="AP75" i="68" s="1"/>
  <c r="AK76" i="68"/>
  <c r="AO76" i="68" s="1"/>
  <c r="AJ77" i="68"/>
  <c r="AN77" i="68" s="1"/>
  <c r="AI78" i="68"/>
  <c r="AM78" i="68" s="1"/>
  <c r="AK83" i="68"/>
  <c r="AO83" i="68" s="1"/>
  <c r="AA95" i="68"/>
  <c r="AA8" i="68" s="1"/>
  <c r="AF95" i="68"/>
  <c r="AF8" i="68" s="1"/>
  <c r="AL94" i="68"/>
  <c r="AP94" i="68" s="1"/>
  <c r="AJ101" i="68"/>
  <c r="AN101" i="68" s="1"/>
  <c r="AL105" i="68"/>
  <c r="AP105" i="68" s="1"/>
  <c r="AK106" i="68"/>
  <c r="AO106" i="68" s="1"/>
  <c r="AJ107" i="68"/>
  <c r="AN107" i="68" s="1"/>
  <c r="AI108" i="68"/>
  <c r="AM108" i="68" s="1"/>
  <c r="AL112" i="68"/>
  <c r="AP112" i="68" s="1"/>
  <c r="AJ114" i="68"/>
  <c r="AN114" i="68" s="1"/>
  <c r="AJ126" i="68"/>
  <c r="AN126" i="68" s="1"/>
  <c r="AI127" i="68"/>
  <c r="AM127" i="68" s="1"/>
  <c r="AJ131" i="68"/>
  <c r="AN131" i="68" s="1"/>
  <c r="AK135" i="68"/>
  <c r="AO135" i="68" s="1"/>
  <c r="AI136" i="68"/>
  <c r="AM136" i="68" s="1"/>
  <c r="AI140" i="68"/>
  <c r="AM140" i="68" s="1"/>
  <c r="AJ145" i="68"/>
  <c r="AN145" i="68" s="1"/>
  <c r="AL152" i="68"/>
  <c r="AP152" i="68" s="1"/>
  <c r="AL156" i="68"/>
  <c r="AP156" i="68" s="1"/>
  <c r="AJ157" i="68"/>
  <c r="AN157" i="68" s="1"/>
  <c r="AK160" i="68"/>
  <c r="AO160" i="68" s="1"/>
  <c r="AJ161" i="68"/>
  <c r="AN161" i="68" s="1"/>
  <c r="AL164" i="68"/>
  <c r="AP164" i="68" s="1"/>
  <c r="AI166" i="68"/>
  <c r="AM166" i="68" s="1"/>
  <c r="AD177" i="68"/>
  <c r="AD11" i="68" s="1"/>
  <c r="AL11" i="68" s="1"/>
  <c r="AP11" i="68" s="1"/>
  <c r="AK175" i="68"/>
  <c r="AO175" i="68" s="1"/>
  <c r="AI176" i="68"/>
  <c r="AM176" i="68" s="1"/>
  <c r="AH196" i="68"/>
  <c r="AH12" i="68" s="1"/>
  <c r="AI187" i="68"/>
  <c r="AM187" i="68" s="1"/>
  <c r="AL190" i="68"/>
  <c r="AP190" i="68" s="1"/>
  <c r="AJ191" i="68"/>
  <c r="AN191" i="68" s="1"/>
  <c r="AJ195" i="68"/>
  <c r="AN195" i="68" s="1"/>
  <c r="AK205" i="68"/>
  <c r="AO205" i="68" s="1"/>
  <c r="AL208" i="68"/>
  <c r="AP208" i="68" s="1"/>
  <c r="AK209" i="68"/>
  <c r="AO209" i="68" s="1"/>
  <c r="AJ221" i="68"/>
  <c r="AN221" i="68" s="1"/>
  <c r="AL224" i="68"/>
  <c r="AP224" i="68" s="1"/>
  <c r="AK225" i="68"/>
  <c r="AO225" i="68" s="1"/>
  <c r="AI226" i="68"/>
  <c r="AM226" i="68" s="1"/>
  <c r="AK230" i="68"/>
  <c r="AO230" i="68" s="1"/>
  <c r="AI231" i="68"/>
  <c r="AM231" i="68" s="1"/>
  <c r="AL234" i="68"/>
  <c r="AP234" i="68" s="1"/>
  <c r="AK235" i="68"/>
  <c r="AO235" i="68" s="1"/>
  <c r="AK236" i="68"/>
  <c r="AO236" i="68" s="1"/>
  <c r="AJ237" i="68"/>
  <c r="AN237" i="68" s="1"/>
  <c r="AK240" i="68"/>
  <c r="AO240" i="68" s="1"/>
  <c r="AI241" i="68"/>
  <c r="AM241" i="68" s="1"/>
  <c r="AL256" i="68"/>
  <c r="AP256" i="68" s="1"/>
  <c r="AK257" i="68"/>
  <c r="AO257" i="68" s="1"/>
  <c r="AI258" i="68"/>
  <c r="AM258" i="68" s="1"/>
  <c r="AL262" i="68"/>
  <c r="AP262" i="68" s="1"/>
  <c r="AK263" i="68"/>
  <c r="AO263" i="68" s="1"/>
  <c r="AL267" i="68"/>
  <c r="AP267" i="68" s="1"/>
  <c r="AA300" i="68"/>
  <c r="AA18" i="68" s="1"/>
  <c r="AL295" i="68"/>
  <c r="AP295" i="68" s="1"/>
  <c r="AJ307" i="68"/>
  <c r="AN307" i="68" s="1"/>
  <c r="AI308" i="68"/>
  <c r="AM308" i="68" s="1"/>
  <c r="AC312" i="68"/>
  <c r="AC19" i="68" s="1"/>
  <c r="AK64" i="68"/>
  <c r="AO64" i="68" s="1"/>
  <c r="AJ65" i="68"/>
  <c r="AN65" i="68" s="1"/>
  <c r="AI66" i="68"/>
  <c r="AM66" i="68" s="1"/>
  <c r="AH7" i="68"/>
  <c r="AK77" i="68"/>
  <c r="AO77" i="68" s="1"/>
  <c r="AI79" i="68"/>
  <c r="AM79" i="68" s="1"/>
  <c r="AL83" i="68"/>
  <c r="AP83" i="68" s="1"/>
  <c r="AB95" i="68"/>
  <c r="AI91" i="68"/>
  <c r="AM91" i="68" s="1"/>
  <c r="AC115" i="68"/>
  <c r="AC9" i="68" s="1"/>
  <c r="AK9" i="68" s="1"/>
  <c r="AO9" i="68" s="1"/>
  <c r="AI102" i="68"/>
  <c r="AM102" i="68" s="1"/>
  <c r="AL106" i="68"/>
  <c r="AP106" i="68" s="1"/>
  <c r="AK107" i="68"/>
  <c r="AO107" i="68" s="1"/>
  <c r="AJ108" i="68"/>
  <c r="AN108" i="68" s="1"/>
  <c r="AI109" i="68"/>
  <c r="AM109" i="68" s="1"/>
  <c r="AL113" i="68"/>
  <c r="AP113" i="68" s="1"/>
  <c r="AK114" i="68"/>
  <c r="AO114" i="68" s="1"/>
  <c r="AK126" i="68"/>
  <c r="AO126" i="68" s="1"/>
  <c r="AL135" i="68"/>
  <c r="AP135" i="68" s="1"/>
  <c r="AI137" i="68"/>
  <c r="AM137" i="68" s="1"/>
  <c r="AJ140" i="68"/>
  <c r="AN140" i="68" s="1"/>
  <c r="AI141" i="68"/>
  <c r="AM141" i="68" s="1"/>
  <c r="AL144" i="68"/>
  <c r="AP144" i="68" s="1"/>
  <c r="AK145" i="68"/>
  <c r="AO145" i="68" s="1"/>
  <c r="AJ146" i="68"/>
  <c r="AN146" i="68" s="1"/>
  <c r="AI147" i="68"/>
  <c r="AM147" i="68" s="1"/>
  <c r="AI150" i="68"/>
  <c r="AM150" i="68" s="1"/>
  <c r="AL153" i="68"/>
  <c r="AP153" i="68" s="1"/>
  <c r="AI154" i="68"/>
  <c r="AM154" i="68" s="1"/>
  <c r="AI158" i="68"/>
  <c r="AM158" i="68" s="1"/>
  <c r="AL160" i="68"/>
  <c r="AP160" i="68" s="1"/>
  <c r="AI162" i="68"/>
  <c r="AM162" i="68" s="1"/>
  <c r="AE177" i="68"/>
  <c r="AE11" i="68" s="1"/>
  <c r="AW11" i="68" s="1"/>
  <c r="AX11" i="68" s="1"/>
  <c r="AL175" i="68"/>
  <c r="AP175" i="68" s="1"/>
  <c r="AJ176" i="68"/>
  <c r="AN176" i="68" s="1"/>
  <c r="AA196" i="68"/>
  <c r="AA12" i="68" s="1"/>
  <c r="AJ187" i="68"/>
  <c r="AN187" i="68" s="1"/>
  <c r="AI188" i="68"/>
  <c r="AM188" i="68" s="1"/>
  <c r="AK191" i="68"/>
  <c r="AO191" i="68" s="1"/>
  <c r="AI192" i="68"/>
  <c r="AM192" i="68" s="1"/>
  <c r="AK195" i="68"/>
  <c r="AO195" i="68" s="1"/>
  <c r="AA210" i="68"/>
  <c r="AL205" i="68"/>
  <c r="AP205" i="68" s="1"/>
  <c r="AJ206" i="68"/>
  <c r="AN206" i="68" s="1"/>
  <c r="AJ216" i="68"/>
  <c r="AN216" i="68" s="1"/>
  <c r="AI217" i="68"/>
  <c r="AM217" i="68" s="1"/>
  <c r="AL230" i="68"/>
  <c r="AP230" i="68" s="1"/>
  <c r="AJ231" i="68"/>
  <c r="AN231" i="68" s="1"/>
  <c r="AL235" i="68"/>
  <c r="AP235" i="68" s="1"/>
  <c r="AK237" i="68"/>
  <c r="AO237" i="68" s="1"/>
  <c r="AI238" i="68"/>
  <c r="AM238" i="68" s="1"/>
  <c r="AL240" i="68"/>
  <c r="AP240" i="68" s="1"/>
  <c r="AJ241" i="68"/>
  <c r="AN241" i="68" s="1"/>
  <c r="AI242" i="68"/>
  <c r="AM242" i="68" s="1"/>
  <c r="AL245" i="68"/>
  <c r="AP245" i="68" s="1"/>
  <c r="AL257" i="68"/>
  <c r="AP257" i="68" s="1"/>
  <c r="AJ258" i="68"/>
  <c r="AN258" i="68" s="1"/>
  <c r="AI259" i="68"/>
  <c r="AM259" i="68" s="1"/>
  <c r="AI264" i="68"/>
  <c r="AM264" i="68" s="1"/>
  <c r="AL268" i="68"/>
  <c r="AP268" i="68" s="1"/>
  <c r="AK269" i="68"/>
  <c r="AO269" i="68" s="1"/>
  <c r="AE285" i="68"/>
  <c r="AE17" i="68" s="1"/>
  <c r="AW17" i="68" s="1"/>
  <c r="AX17" i="68" s="1"/>
  <c r="AB300" i="68"/>
  <c r="AI292" i="68"/>
  <c r="AM292" i="68" s="1"/>
  <c r="AK296" i="68"/>
  <c r="AO296" i="68" s="1"/>
  <c r="AJ308" i="68"/>
  <c r="AN308" i="68" s="1"/>
  <c r="AL311" i="68"/>
  <c r="AP311" i="68" s="1"/>
  <c r="AL64" i="68"/>
  <c r="AP64" i="68" s="1"/>
  <c r="AK65" i="68"/>
  <c r="AO65" i="68" s="1"/>
  <c r="AJ66" i="68"/>
  <c r="AN66" i="68" s="1"/>
  <c r="AI73" i="68"/>
  <c r="AM73" i="68" s="1"/>
  <c r="AL77" i="68"/>
  <c r="AP77" i="68" s="1"/>
  <c r="AK78" i="68"/>
  <c r="AO78" i="68" s="1"/>
  <c r="AJ79" i="68"/>
  <c r="AN79" i="68" s="1"/>
  <c r="AI80" i="68"/>
  <c r="AM80" i="68" s="1"/>
  <c r="AC95" i="68"/>
  <c r="AC8" i="68" s="1"/>
  <c r="AJ91" i="68"/>
  <c r="AN91" i="68" s="1"/>
  <c r="AD115" i="68"/>
  <c r="AL115" i="68" s="1"/>
  <c r="AP115" i="68" s="1"/>
  <c r="AJ102" i="68"/>
  <c r="AN102" i="68" s="1"/>
  <c r="AI103" i="68"/>
  <c r="AM103" i="68" s="1"/>
  <c r="AL107" i="68"/>
  <c r="AP107" i="68" s="1"/>
  <c r="AK108" i="68"/>
  <c r="AO108" i="68" s="1"/>
  <c r="AJ109" i="68"/>
  <c r="AN109" i="68" s="1"/>
  <c r="AL114" i="68"/>
  <c r="AP114" i="68" s="1"/>
  <c r="AI122" i="68"/>
  <c r="AM122" i="68" s="1"/>
  <c r="AK127" i="68"/>
  <c r="AO127" i="68" s="1"/>
  <c r="AI128" i="68"/>
  <c r="AM128" i="68" s="1"/>
  <c r="AI132" i="68"/>
  <c r="AM132" i="68" s="1"/>
  <c r="AJ137" i="68"/>
  <c r="AN137" i="68" s="1"/>
  <c r="AK140" i="68"/>
  <c r="AO140" i="68" s="1"/>
  <c r="AJ141" i="68"/>
  <c r="AN141" i="68" s="1"/>
  <c r="AL145" i="68"/>
  <c r="AP145" i="68" s="1"/>
  <c r="AK146" i="68"/>
  <c r="AO146" i="68" s="1"/>
  <c r="AJ147" i="68"/>
  <c r="AN147" i="68" s="1"/>
  <c r="AJ154" i="68"/>
  <c r="AN154" i="68" s="1"/>
  <c r="AL161" i="68"/>
  <c r="AP161" i="68" s="1"/>
  <c r="AJ162" i="68"/>
  <c r="AN162" i="68" s="1"/>
  <c r="AK166" i="68"/>
  <c r="AO166" i="68" s="1"/>
  <c r="AC177" i="68"/>
  <c r="AC11" i="68" s="1"/>
  <c r="AK11" i="68" s="1"/>
  <c r="AO11" i="68" s="1"/>
  <c r="AJ183" i="68"/>
  <c r="AN183" i="68" s="1"/>
  <c r="AK187" i="68"/>
  <c r="AO187" i="68" s="1"/>
  <c r="AB196" i="68"/>
  <c r="AB12" i="68" s="1"/>
  <c r="AR12" i="68" s="1"/>
  <c r="AS12" i="68" s="1"/>
  <c r="AI189" i="68"/>
  <c r="AM189" i="68" s="1"/>
  <c r="AI203" i="68"/>
  <c r="AM203" i="68" s="1"/>
  <c r="AI207" i="68"/>
  <c r="AM207" i="68" s="1"/>
  <c r="AK216" i="68"/>
  <c r="AO216" i="68" s="1"/>
  <c r="AB250" i="68"/>
  <c r="AB14" i="68" s="1"/>
  <c r="AL221" i="68"/>
  <c r="AP221" i="68" s="1"/>
  <c r="AJ227" i="68"/>
  <c r="AN227" i="68" s="1"/>
  <c r="AI228" i="68"/>
  <c r="AM228" i="68" s="1"/>
  <c r="AK231" i="68"/>
  <c r="AO231" i="68" s="1"/>
  <c r="AI232" i="68"/>
  <c r="AM232" i="68" s="1"/>
  <c r="AJ238" i="68"/>
  <c r="AN238" i="68" s="1"/>
  <c r="AK241" i="68"/>
  <c r="AO241" i="68" s="1"/>
  <c r="AF271" i="68"/>
  <c r="AF15" i="68" s="1"/>
  <c r="AW15" i="68" s="1"/>
  <c r="AX15" i="68" s="1"/>
  <c r="AJ259" i="68"/>
  <c r="AN259" i="68" s="1"/>
  <c r="AI260" i="68"/>
  <c r="AM260" i="68" s="1"/>
  <c r="AJ264" i="68"/>
  <c r="AN264" i="68" s="1"/>
  <c r="AI265" i="68"/>
  <c r="AM265" i="68" s="1"/>
  <c r="AJ270" i="68"/>
  <c r="AN270" i="68" s="1"/>
  <c r="AI297" i="68"/>
  <c r="AM297" i="68" s="1"/>
  <c r="AF312" i="68"/>
  <c r="AF19" i="68" s="1"/>
  <c r="AL307" i="68"/>
  <c r="AP307" i="68" s="1"/>
  <c r="AK308" i="68"/>
  <c r="AO308" i="68" s="1"/>
  <c r="AC168" i="68"/>
  <c r="AC10" i="68" s="1"/>
  <c r="AD196" i="68"/>
  <c r="AD12" i="68" s="1"/>
  <c r="AL12" i="68" s="1"/>
  <c r="AP12" i="68" s="1"/>
  <c r="AD250" i="68"/>
  <c r="AD14" i="68" s="1"/>
  <c r="AG271" i="68"/>
  <c r="AG15" i="68" s="1"/>
  <c r="AA5" i="68"/>
  <c r="AI5" i="68" s="1"/>
  <c r="AM5" i="68" s="1"/>
  <c r="AI56" i="68"/>
  <c r="AM56" i="68" s="1"/>
  <c r="AB4" i="68"/>
  <c r="AL67" i="68"/>
  <c r="AP67" i="68" s="1"/>
  <c r="AD6" i="68"/>
  <c r="AI38" i="68"/>
  <c r="AM38" i="68" s="1"/>
  <c r="AI47" i="68"/>
  <c r="AM47" i="68" s="1"/>
  <c r="AI51" i="68"/>
  <c r="AM51" i="68" s="1"/>
  <c r="AK63" i="68"/>
  <c r="AO63" i="68" s="1"/>
  <c r="AK73" i="68"/>
  <c r="AO73" i="68" s="1"/>
  <c r="AE115" i="68"/>
  <c r="AE9" i="68" s="1"/>
  <c r="AW9" i="68" s="1"/>
  <c r="AX9" i="68" s="1"/>
  <c r="AI107" i="68"/>
  <c r="AM107" i="68" s="1"/>
  <c r="AC41" i="68"/>
  <c r="AK26" i="68"/>
  <c r="AO26" i="68" s="1"/>
  <c r="AB56" i="68"/>
  <c r="AF67" i="68"/>
  <c r="AF6" i="68" s="1"/>
  <c r="AW6" i="68" s="1"/>
  <c r="AX6" i="68" s="1"/>
  <c r="AJ64" i="68"/>
  <c r="AN64" i="68" s="1"/>
  <c r="AL76" i="68"/>
  <c r="AP76" i="68" s="1"/>
  <c r="AI26" i="68"/>
  <c r="AM26" i="68" s="1"/>
  <c r="AD41" i="68"/>
  <c r="AL26" i="68"/>
  <c r="AP26" i="68" s="1"/>
  <c r="AJ28" i="68"/>
  <c r="AN28" i="68" s="1"/>
  <c r="AJ175" i="68"/>
  <c r="AN175" i="68" s="1"/>
  <c r="AB177" i="68"/>
  <c r="AE41" i="68"/>
  <c r="AE4" i="68" s="1"/>
  <c r="AK36" i="68"/>
  <c r="AO36" i="68" s="1"/>
  <c r="AD56" i="68"/>
  <c r="AJ78" i="68"/>
  <c r="AN78" i="68" s="1"/>
  <c r="AL90" i="68"/>
  <c r="AP90" i="68" s="1"/>
  <c r="AB168" i="68"/>
  <c r="AF196" i="68"/>
  <c r="AF12" i="68" s="1"/>
  <c r="AF41" i="68"/>
  <c r="AF4" i="68" s="1"/>
  <c r="AL66" i="68"/>
  <c r="AP66" i="68" s="1"/>
  <c r="AE95" i="68"/>
  <c r="AE8" i="68" s="1"/>
  <c r="AC196" i="68"/>
  <c r="AG41" i="68"/>
  <c r="AG4" i="68" s="1"/>
  <c r="AF7" i="68"/>
  <c r="AJ16" i="68"/>
  <c r="AN16" i="68" s="1"/>
  <c r="AJ20" i="68"/>
  <c r="AN20" i="68" s="1"/>
  <c r="AA19" i="68"/>
  <c r="AH41" i="68"/>
  <c r="AH4" i="68" s="1"/>
  <c r="AY4" i="68" s="1"/>
  <c r="AZ4" i="68" s="1"/>
  <c r="AJ37" i="68"/>
  <c r="AN37" i="68" s="1"/>
  <c r="AG56" i="68"/>
  <c r="AG5" i="68" s="1"/>
  <c r="AK5" i="68" s="1"/>
  <c r="AO5" i="68" s="1"/>
  <c r="AK49" i="68"/>
  <c r="AO49" i="68" s="1"/>
  <c r="AG95" i="68"/>
  <c r="AG8" i="68" s="1"/>
  <c r="AK8" i="68" s="1"/>
  <c r="AO8" i="68" s="1"/>
  <c r="AI93" i="68"/>
  <c r="AM93" i="68" s="1"/>
  <c r="AK105" i="68"/>
  <c r="AO105" i="68" s="1"/>
  <c r="AK113" i="68"/>
  <c r="AO113" i="68" s="1"/>
  <c r="AI184" i="68"/>
  <c r="AM184" i="68" s="1"/>
  <c r="AJ47" i="68"/>
  <c r="AN47" i="68" s="1"/>
  <c r="AI62" i="68"/>
  <c r="AM62" i="68" s="1"/>
  <c r="AL73" i="68"/>
  <c r="AP73" i="68" s="1"/>
  <c r="AI90" i="68"/>
  <c r="AM90" i="68" s="1"/>
  <c r="AL101" i="68"/>
  <c r="AP101" i="68" s="1"/>
  <c r="AL163" i="68"/>
  <c r="AP163" i="68" s="1"/>
  <c r="AI202" i="68"/>
  <c r="AM202" i="68" s="1"/>
  <c r="AJ217" i="68"/>
  <c r="AN217" i="68" s="1"/>
  <c r="AK47" i="68"/>
  <c r="AO47" i="68" s="1"/>
  <c r="AJ62" i="68"/>
  <c r="AN62" i="68" s="1"/>
  <c r="AJ90" i="68"/>
  <c r="AN90" i="68" s="1"/>
  <c r="AG168" i="68"/>
  <c r="AG10" i="68" s="1"/>
  <c r="AJ188" i="68"/>
  <c r="AN188" i="68" s="1"/>
  <c r="AL47" i="68"/>
  <c r="AP47" i="68" s="1"/>
  <c r="AK62" i="68"/>
  <c r="AO62" i="68" s="1"/>
  <c r="AK90" i="68"/>
  <c r="AO90" i="68" s="1"/>
  <c r="AA115" i="68"/>
  <c r="AH168" i="68"/>
  <c r="AH10" i="68" s="1"/>
  <c r="AI174" i="68"/>
  <c r="AM174" i="68" s="1"/>
  <c r="AC271" i="68"/>
  <c r="AB115" i="68"/>
  <c r="AA168" i="68"/>
  <c r="AI121" i="68"/>
  <c r="AM121" i="68" s="1"/>
  <c r="AK150" i="68"/>
  <c r="AO150" i="68" s="1"/>
  <c r="AL183" i="68"/>
  <c r="AP183" i="68" s="1"/>
  <c r="AI191" i="68"/>
  <c r="AM191" i="68" s="1"/>
  <c r="AJ193" i="68"/>
  <c r="AN193" i="68" s="1"/>
  <c r="AI222" i="68"/>
  <c r="AM222" i="68" s="1"/>
  <c r="AI230" i="68"/>
  <c r="AM230" i="68" s="1"/>
  <c r="AJ121" i="68"/>
  <c r="AN121" i="68" s="1"/>
  <c r="AI146" i="68"/>
  <c r="AM146" i="68" s="1"/>
  <c r="AE196" i="68"/>
  <c r="AE12" i="68" s="1"/>
  <c r="AI12" i="68" s="1"/>
  <c r="AM12" i="68" s="1"/>
  <c r="AK186" i="68"/>
  <c r="AO186" i="68" s="1"/>
  <c r="AK193" i="68"/>
  <c r="AO193" i="68" s="1"/>
  <c r="AD210" i="68"/>
  <c r="AK121" i="68"/>
  <c r="AO121" i="68" s="1"/>
  <c r="AL126" i="68"/>
  <c r="AP126" i="68" s="1"/>
  <c r="AJ128" i="68"/>
  <c r="AN128" i="68" s="1"/>
  <c r="AL134" i="68"/>
  <c r="AP134" i="68" s="1"/>
  <c r="AJ136" i="68"/>
  <c r="AN136" i="68" s="1"/>
  <c r="AL142" i="68"/>
  <c r="AP142" i="68" s="1"/>
  <c r="AJ144" i="68"/>
  <c r="AN144" i="68" s="1"/>
  <c r="AL155" i="68"/>
  <c r="AP155" i="68" s="1"/>
  <c r="AI163" i="68"/>
  <c r="AM163" i="68" s="1"/>
  <c r="AJ165" i="68"/>
  <c r="AN165" i="68" s="1"/>
  <c r="AD168" i="68"/>
  <c r="AL121" i="68"/>
  <c r="AP121" i="68" s="1"/>
  <c r="AK128" i="68"/>
  <c r="AO128" i="68" s="1"/>
  <c r="AI130" i="68"/>
  <c r="AM130" i="68" s="1"/>
  <c r="AK136" i="68"/>
  <c r="AO136" i="68" s="1"/>
  <c r="AI138" i="68"/>
  <c r="AM138" i="68" s="1"/>
  <c r="AK144" i="68"/>
  <c r="AO144" i="68" s="1"/>
  <c r="AK158" i="68"/>
  <c r="AO158" i="68" s="1"/>
  <c r="AK165" i="68"/>
  <c r="AO165" i="68" s="1"/>
  <c r="AL187" i="68"/>
  <c r="AP187" i="68" s="1"/>
  <c r="AL191" i="68"/>
  <c r="AP191" i="68" s="1"/>
  <c r="AK203" i="68"/>
  <c r="AO203" i="68" s="1"/>
  <c r="AK283" i="68"/>
  <c r="AO283" i="68" s="1"/>
  <c r="AE250" i="68"/>
  <c r="AE14" i="68" s="1"/>
  <c r="AL285" i="68"/>
  <c r="AP285" i="68" s="1"/>
  <c r="AI149" i="68"/>
  <c r="AM149" i="68" s="1"/>
  <c r="AI157" i="68"/>
  <c r="AM157" i="68" s="1"/>
  <c r="AI165" i="68"/>
  <c r="AM165" i="68" s="1"/>
  <c r="AG196" i="68"/>
  <c r="AG12" i="68" s="1"/>
  <c r="AY12" i="68" s="1"/>
  <c r="AZ12" i="68" s="1"/>
  <c r="AI185" i="68"/>
  <c r="AM185" i="68" s="1"/>
  <c r="AI193" i="68"/>
  <c r="AM193" i="68" s="1"/>
  <c r="AH210" i="68"/>
  <c r="AH13" i="68" s="1"/>
  <c r="AI206" i="68"/>
  <c r="AM206" i="68" s="1"/>
  <c r="AF250" i="68"/>
  <c r="AF14" i="68" s="1"/>
  <c r="AJ14" i="68" s="1"/>
  <c r="AN14" i="68" s="1"/>
  <c r="AL217" i="68"/>
  <c r="AP217" i="68" s="1"/>
  <c r="AL225" i="68"/>
  <c r="AP225" i="68" s="1"/>
  <c r="AL233" i="68"/>
  <c r="AP233" i="68" s="1"/>
  <c r="AI239" i="68"/>
  <c r="AM239" i="68" s="1"/>
  <c r="AH271" i="68"/>
  <c r="AH15" i="68" s="1"/>
  <c r="AY15" i="68" s="1"/>
  <c r="AZ15" i="68" s="1"/>
  <c r="AK268" i="68"/>
  <c r="AO268" i="68" s="1"/>
  <c r="AE300" i="68"/>
  <c r="AE18" i="68" s="1"/>
  <c r="AJ292" i="68"/>
  <c r="AN292" i="68" s="1"/>
  <c r="AL298" i="68"/>
  <c r="AP298" i="68" s="1"/>
  <c r="AI311" i="68"/>
  <c r="AM311" i="68" s="1"/>
  <c r="AJ148" i="68"/>
  <c r="AN148" i="68" s="1"/>
  <c r="AJ156" i="68"/>
  <c r="AN156" i="68" s="1"/>
  <c r="AJ164" i="68"/>
  <c r="AN164" i="68" s="1"/>
  <c r="AL176" i="68"/>
  <c r="AP176" i="68" s="1"/>
  <c r="AI183" i="68"/>
  <c r="AM183" i="68" s="1"/>
  <c r="AJ184" i="68"/>
  <c r="AN184" i="68" s="1"/>
  <c r="AJ192" i="68"/>
  <c r="AN192" i="68" s="1"/>
  <c r="AB210" i="68"/>
  <c r="AJ202" i="68"/>
  <c r="AN202" i="68" s="1"/>
  <c r="AH250" i="68"/>
  <c r="AH14" i="68" s="1"/>
  <c r="AY14" i="68" s="1"/>
  <c r="AZ14" i="68" s="1"/>
  <c r="AL284" i="68"/>
  <c r="AP284" i="68" s="1"/>
  <c r="AG300" i="68"/>
  <c r="AG18" i="68" s="1"/>
  <c r="AK307" i="68"/>
  <c r="AO307" i="68" s="1"/>
  <c r="AK311" i="68"/>
  <c r="AO311" i="68" s="1"/>
  <c r="AK148" i="68"/>
  <c r="AO148" i="68" s="1"/>
  <c r="AK156" i="68"/>
  <c r="AO156" i="68" s="1"/>
  <c r="AK164" i="68"/>
  <c r="AO164" i="68" s="1"/>
  <c r="AK184" i="68"/>
  <c r="AO184" i="68" s="1"/>
  <c r="AK192" i="68"/>
  <c r="AO192" i="68" s="1"/>
  <c r="AC210" i="68"/>
  <c r="AK202" i="68"/>
  <c r="AO202" i="68" s="1"/>
  <c r="AA250" i="68"/>
  <c r="AI216" i="68"/>
  <c r="AM216" i="68" s="1"/>
  <c r="AI219" i="68"/>
  <c r="AM219" i="68" s="1"/>
  <c r="AI227" i="68"/>
  <c r="AM227" i="68" s="1"/>
  <c r="AI235" i="68"/>
  <c r="AM235" i="68" s="1"/>
  <c r="AB271" i="68"/>
  <c r="AI270" i="68"/>
  <c r="AM270" i="68" s="1"/>
  <c r="AH300" i="68"/>
  <c r="AH18" i="68" s="1"/>
  <c r="AK293" i="68"/>
  <c r="AO293" i="68" s="1"/>
  <c r="AG312" i="68"/>
  <c r="AG19" i="68" s="1"/>
  <c r="AY19" i="68" s="1"/>
  <c r="AZ19" i="68" s="1"/>
  <c r="AL177" i="68"/>
  <c r="AP177" i="68" s="1"/>
  <c r="AL174" i="68"/>
  <c r="AP174" i="68" s="1"/>
  <c r="AI283" i="68"/>
  <c r="AM283" i="68" s="1"/>
  <c r="AI291" i="68"/>
  <c r="AM291" i="68" s="1"/>
  <c r="AI309" i="68"/>
  <c r="AM309" i="68" s="1"/>
  <c r="AF210" i="68"/>
  <c r="AF13" i="68" s="1"/>
  <c r="AW13" i="68" s="1"/>
  <c r="AX13" i="68" s="1"/>
  <c r="AL204" i="68"/>
  <c r="AP204" i="68" s="1"/>
  <c r="AJ218" i="68"/>
  <c r="AN218" i="68" s="1"/>
  <c r="AJ226" i="68"/>
  <c r="AN226" i="68" s="1"/>
  <c r="AJ234" i="68"/>
  <c r="AN234" i="68" s="1"/>
  <c r="AL242" i="68"/>
  <c r="AP242" i="68" s="1"/>
  <c r="AK245" i="68"/>
  <c r="AO245" i="68" s="1"/>
  <c r="AA271" i="68"/>
  <c r="AI256" i="68"/>
  <c r="AM256" i="68" s="1"/>
  <c r="AK258" i="68"/>
  <c r="AO258" i="68" s="1"/>
  <c r="AJ261" i="68"/>
  <c r="AN261" i="68" s="1"/>
  <c r="AK266" i="68"/>
  <c r="AO266" i="68" s="1"/>
  <c r="AJ269" i="68"/>
  <c r="AN269" i="68" s="1"/>
  <c r="AC300" i="68"/>
  <c r="AJ294" i="68"/>
  <c r="AN294" i="68" s="1"/>
  <c r="AK299" i="68"/>
  <c r="AO299" i="68" s="1"/>
  <c r="AL306" i="68"/>
  <c r="AP306" i="68" s="1"/>
  <c r="AI307" i="68"/>
  <c r="AM307" i="68" s="1"/>
  <c r="AG210" i="68"/>
  <c r="AG13" i="68" s="1"/>
  <c r="AK206" i="68"/>
  <c r="AO206" i="68" s="1"/>
  <c r="AI208" i="68"/>
  <c r="AM208" i="68" s="1"/>
  <c r="AC250" i="68"/>
  <c r="AK218" i="68"/>
  <c r="AO218" i="68" s="1"/>
  <c r="AK220" i="68"/>
  <c r="AO220" i="68" s="1"/>
  <c r="AK226" i="68"/>
  <c r="AO226" i="68" s="1"/>
  <c r="AK228" i="68"/>
  <c r="AO228" i="68" s="1"/>
  <c r="AK234" i="68"/>
  <c r="AO234" i="68" s="1"/>
  <c r="AL236" i="68"/>
  <c r="AP236" i="68" s="1"/>
  <c r="AD300" i="68"/>
  <c r="AE312" i="68"/>
  <c r="AE19" i="68" s="1"/>
  <c r="AW19" i="68" s="1"/>
  <c r="AX19" i="68" s="1"/>
  <c r="AD271" i="68"/>
  <c r="AB312" i="68"/>
  <c r="AL283" i="68"/>
  <c r="AP283" i="68" s="1"/>
  <c r="AJ291" i="68"/>
  <c r="AN291" i="68" s="1"/>
  <c r="AD312" i="68"/>
  <c r="AK291" i="68"/>
  <c r="AO291" i="68" s="1"/>
  <c r="AL291" i="68"/>
  <c r="AP291" i="68" s="1"/>
  <c r="AT17" i="68" l="1"/>
  <c r="AU17" i="68" s="1"/>
  <c r="AL16" i="68"/>
  <c r="AP16" i="68" s="1"/>
  <c r="AT20" i="68"/>
  <c r="AU20" i="68" s="1"/>
  <c r="AT8" i="68"/>
  <c r="AU8" i="68" s="1"/>
  <c r="AK10" i="68"/>
  <c r="AO10" i="68" s="1"/>
  <c r="AK177" i="68"/>
  <c r="AO177" i="68" s="1"/>
  <c r="AY7" i="68"/>
  <c r="AZ7" i="68" s="1"/>
  <c r="AK56" i="68"/>
  <c r="AO56" i="68" s="1"/>
  <c r="AK19" i="68"/>
  <c r="AO19" i="68" s="1"/>
  <c r="AY5" i="68"/>
  <c r="AZ5" i="68" s="1"/>
  <c r="AI67" i="68"/>
  <c r="AM67" i="68" s="1"/>
  <c r="AK285" i="68"/>
  <c r="AO285" i="68" s="1"/>
  <c r="AI4" i="68"/>
  <c r="AM4" i="68" s="1"/>
  <c r="AY17" i="68"/>
  <c r="AZ17" i="68" s="1"/>
  <c r="AK115" i="68"/>
  <c r="AO115" i="68" s="1"/>
  <c r="AJ95" i="68"/>
  <c r="AN95" i="68" s="1"/>
  <c r="AB8" i="68"/>
  <c r="AK67" i="68"/>
  <c r="AO67" i="68" s="1"/>
  <c r="AJ6" i="68"/>
  <c r="AN6" i="68" s="1"/>
  <c r="AJ285" i="68"/>
  <c r="AN285" i="68" s="1"/>
  <c r="AB17" i="68"/>
  <c r="AI85" i="68"/>
  <c r="AM85" i="68" s="1"/>
  <c r="AA7" i="68"/>
  <c r="AD9" i="68"/>
  <c r="AW7" i="68"/>
  <c r="AX7" i="68" s="1"/>
  <c r="AW8" i="68"/>
  <c r="AX8" i="68" s="1"/>
  <c r="AJ250" i="68"/>
  <c r="AN250" i="68" s="1"/>
  <c r="AW10" i="68"/>
  <c r="AX10" i="68" s="1"/>
  <c r="AW5" i="68"/>
  <c r="AX5" i="68" s="1"/>
  <c r="AJ67" i="68"/>
  <c r="AN67" i="68" s="1"/>
  <c r="AJ85" i="68"/>
  <c r="AN85" i="68" s="1"/>
  <c r="AL95" i="68"/>
  <c r="AP95" i="68" s="1"/>
  <c r="AL196" i="68"/>
  <c r="AP196" i="68" s="1"/>
  <c r="AY9" i="68"/>
  <c r="AZ9" i="68" s="1"/>
  <c r="AW18" i="68"/>
  <c r="AX18" i="68" s="1"/>
  <c r="AK312" i="68"/>
  <c r="AO312" i="68" s="1"/>
  <c r="AW4" i="68"/>
  <c r="AX4" i="68" s="1"/>
  <c r="AK95" i="68"/>
  <c r="AO95" i="68" s="1"/>
  <c r="AK7" i="68"/>
  <c r="AO7" i="68" s="1"/>
  <c r="AI210" i="68"/>
  <c r="AM210" i="68" s="1"/>
  <c r="AA13" i="68"/>
  <c r="AI13" i="68" s="1"/>
  <c r="AM13" i="68" s="1"/>
  <c r="AI41" i="68"/>
  <c r="AM41" i="68" s="1"/>
  <c r="AY13" i="68"/>
  <c r="AZ13" i="68" s="1"/>
  <c r="AJ12" i="68"/>
  <c r="AN12" i="68" s="1"/>
  <c r="AJ7" i="68"/>
  <c r="AN7" i="68" s="1"/>
  <c r="AT11" i="68"/>
  <c r="AU11" i="68" s="1"/>
  <c r="AI18" i="68"/>
  <c r="AM18" i="68" s="1"/>
  <c r="AJ300" i="68"/>
  <c r="AN300" i="68" s="1"/>
  <c r="AB18" i="68"/>
  <c r="AI285" i="68"/>
  <c r="AM285" i="68" s="1"/>
  <c r="AA17" i="68"/>
  <c r="AI17" i="68" s="1"/>
  <c r="AM17" i="68" s="1"/>
  <c r="AL8" i="68"/>
  <c r="AP8" i="68" s="1"/>
  <c r="AI11" i="68"/>
  <c r="AM11" i="68" s="1"/>
  <c r="AJ196" i="68"/>
  <c r="AN196" i="68" s="1"/>
  <c r="AI196" i="68"/>
  <c r="AM196" i="68" s="1"/>
  <c r="AJ177" i="68"/>
  <c r="AN177" i="68" s="1"/>
  <c r="AB11" i="68"/>
  <c r="AJ271" i="68"/>
  <c r="AN271" i="68" s="1"/>
  <c r="AB15" i="68"/>
  <c r="AL210" i="68"/>
  <c r="AP210" i="68" s="1"/>
  <c r="AD13" i="68"/>
  <c r="AK271" i="68"/>
  <c r="AO271" i="68" s="1"/>
  <c r="AC15" i="68"/>
  <c r="AK15" i="68" s="1"/>
  <c r="AO15" i="68" s="1"/>
  <c r="AL9" i="68"/>
  <c r="AP9" i="68" s="1"/>
  <c r="AT9" i="68"/>
  <c r="AU9" i="68" s="1"/>
  <c r="AI8" i="68"/>
  <c r="AM8" i="68" s="1"/>
  <c r="AI271" i="68"/>
  <c r="AM271" i="68" s="1"/>
  <c r="AA15" i="68"/>
  <c r="AI15" i="68" s="1"/>
  <c r="AM15" i="68" s="1"/>
  <c r="AL271" i="68"/>
  <c r="AP271" i="68" s="1"/>
  <c r="AD15" i="68"/>
  <c r="AK250" i="68"/>
  <c r="AO250" i="68" s="1"/>
  <c r="AC14" i="68"/>
  <c r="AL14" i="68"/>
  <c r="AP14" i="68" s="1"/>
  <c r="AJ312" i="68"/>
  <c r="AN312" i="68" s="1"/>
  <c r="AB19" i="68"/>
  <c r="AI19" i="68"/>
  <c r="AM19" i="68" s="1"/>
  <c r="AY10" i="68"/>
  <c r="AZ10" i="68" s="1"/>
  <c r="AL85" i="68"/>
  <c r="AP85" i="68" s="1"/>
  <c r="AD7" i="68"/>
  <c r="AI312" i="68"/>
  <c r="AM312" i="68" s="1"/>
  <c r="AK210" i="68"/>
  <c r="AO210" i="68" s="1"/>
  <c r="AC13" i="68"/>
  <c r="AK13" i="68" s="1"/>
  <c r="AO13" i="68" s="1"/>
  <c r="AK41" i="68"/>
  <c r="AO41" i="68" s="1"/>
  <c r="AC4" i="68"/>
  <c r="AK4" i="68" s="1"/>
  <c r="AO4" i="68" s="1"/>
  <c r="AK300" i="68"/>
  <c r="AO300" i="68" s="1"/>
  <c r="AC18" i="68"/>
  <c r="AK18" i="68" s="1"/>
  <c r="AO18" i="68" s="1"/>
  <c r="AJ210" i="68"/>
  <c r="AN210" i="68" s="1"/>
  <c r="AB13" i="68"/>
  <c r="AI115" i="68"/>
  <c r="AM115" i="68" s="1"/>
  <c r="AA9" i="68"/>
  <c r="AI9" i="68" s="1"/>
  <c r="AM9" i="68" s="1"/>
  <c r="AL56" i="68"/>
  <c r="AP56" i="68" s="1"/>
  <c r="AD5" i="68"/>
  <c r="AL6" i="68"/>
  <c r="AP6" i="68" s="1"/>
  <c r="AT6" i="68"/>
  <c r="AU6" i="68" s="1"/>
  <c r="AL312" i="68"/>
  <c r="AP312" i="68" s="1"/>
  <c r="AD19" i="68"/>
  <c r="AL250" i="68"/>
  <c r="AP250" i="68" s="1"/>
  <c r="AY8" i="68"/>
  <c r="AZ8" i="68" s="1"/>
  <c r="AJ115" i="68"/>
  <c r="AN115" i="68" s="1"/>
  <c r="AB9" i="68"/>
  <c r="AI250" i="68"/>
  <c r="AM250" i="68" s="1"/>
  <c r="AA14" i="68"/>
  <c r="AL168" i="68"/>
  <c r="AP168" i="68" s="1"/>
  <c r="AD10" i="68"/>
  <c r="AK196" i="68"/>
  <c r="AO196" i="68" s="1"/>
  <c r="AC12" i="68"/>
  <c r="AW12" i="68"/>
  <c r="AX12" i="68" s="1"/>
  <c r="AJ56" i="68"/>
  <c r="AN56" i="68" s="1"/>
  <c r="AB5" i="68"/>
  <c r="AI95" i="68"/>
  <c r="AM95" i="68" s="1"/>
  <c r="AR4" i="68"/>
  <c r="AS4" i="68" s="1"/>
  <c r="AJ4" i="68"/>
  <c r="AN4" i="68" s="1"/>
  <c r="AL300" i="68"/>
  <c r="AP300" i="68" s="1"/>
  <c r="AD18" i="68"/>
  <c r="AY18" i="68"/>
  <c r="AZ18" i="68" s="1"/>
  <c r="AW14" i="68"/>
  <c r="AX14" i="68" s="1"/>
  <c r="AI300" i="68"/>
  <c r="AM300" i="68" s="1"/>
  <c r="AI168" i="68"/>
  <c r="AM168" i="68" s="1"/>
  <c r="AA10" i="68"/>
  <c r="AI10" i="68" s="1"/>
  <c r="AM10" i="68" s="1"/>
  <c r="AK168" i="68"/>
  <c r="AO168" i="68" s="1"/>
  <c r="AJ168" i="68"/>
  <c r="AN168" i="68" s="1"/>
  <c r="AB10" i="68"/>
  <c r="AL41" i="68"/>
  <c r="AP41" i="68" s="1"/>
  <c r="AD4" i="68"/>
  <c r="AJ41" i="68"/>
  <c r="AN41" i="68" s="1"/>
  <c r="AR17" i="68" l="1"/>
  <c r="AS17" i="68" s="1"/>
  <c r="AJ17" i="68"/>
  <c r="AN17" i="68" s="1"/>
  <c r="AI7" i="68"/>
  <c r="AM7" i="68" s="1"/>
  <c r="AR7" i="68"/>
  <c r="AS7" i="68" s="1"/>
  <c r="AR18" i="68"/>
  <c r="AS18" i="68" s="1"/>
  <c r="AJ18" i="68"/>
  <c r="AN18" i="68" s="1"/>
  <c r="AR8" i="68"/>
  <c r="AS8" i="68" s="1"/>
  <c r="AJ8" i="68"/>
  <c r="AN8" i="68" s="1"/>
  <c r="AL7" i="68"/>
  <c r="AP7" i="68" s="1"/>
  <c r="AT7" i="68"/>
  <c r="AU7" i="68" s="1"/>
  <c r="AR5" i="68"/>
  <c r="AS5" i="68" s="1"/>
  <c r="AJ5" i="68"/>
  <c r="AN5" i="68" s="1"/>
  <c r="AI14" i="68"/>
  <c r="AM14" i="68" s="1"/>
  <c r="AR14" i="68"/>
  <c r="AS14" i="68" s="1"/>
  <c r="AL15" i="68"/>
  <c r="AP15" i="68" s="1"/>
  <c r="AT15" i="68"/>
  <c r="AU15" i="68" s="1"/>
  <c r="AL13" i="68"/>
  <c r="AP13" i="68" s="1"/>
  <c r="AT13" i="68"/>
  <c r="AU13" i="68" s="1"/>
  <c r="AL4" i="68"/>
  <c r="AP4" i="68" s="1"/>
  <c r="AT4" i="68"/>
  <c r="AU4" i="68" s="1"/>
  <c r="AR9" i="68"/>
  <c r="AS9" i="68" s="1"/>
  <c r="AJ9" i="68"/>
  <c r="AN9" i="68" s="1"/>
  <c r="AL5" i="68"/>
  <c r="AP5" i="68" s="1"/>
  <c r="AT5" i="68"/>
  <c r="AU5" i="68" s="1"/>
  <c r="AR19" i="68"/>
  <c r="AS19" i="68" s="1"/>
  <c r="AJ19" i="68"/>
  <c r="AN19" i="68" s="1"/>
  <c r="AR15" i="68"/>
  <c r="AS15" i="68" s="1"/>
  <c r="AJ15" i="68"/>
  <c r="AN15" i="68" s="1"/>
  <c r="AR10" i="68"/>
  <c r="AS10" i="68" s="1"/>
  <c r="AJ10" i="68"/>
  <c r="AN10" i="68" s="1"/>
  <c r="AL18" i="68"/>
  <c r="AP18" i="68" s="1"/>
  <c r="AT18" i="68"/>
  <c r="AU18" i="68" s="1"/>
  <c r="AK12" i="68"/>
  <c r="AO12" i="68" s="1"/>
  <c r="AT12" i="68"/>
  <c r="AU12" i="68" s="1"/>
  <c r="AR11" i="68"/>
  <c r="AS11" i="68" s="1"/>
  <c r="AJ11" i="68"/>
  <c r="AN11" i="68" s="1"/>
  <c r="AL10" i="68"/>
  <c r="AP10" i="68" s="1"/>
  <c r="AT10" i="68"/>
  <c r="AU10" i="68" s="1"/>
  <c r="AL19" i="68"/>
  <c r="AP19" i="68" s="1"/>
  <c r="AT19" i="68"/>
  <c r="AU19" i="68" s="1"/>
  <c r="AR13" i="68"/>
  <c r="AS13" i="68" s="1"/>
  <c r="AJ13" i="68"/>
  <c r="AN13" i="68" s="1"/>
  <c r="AK14" i="68"/>
  <c r="AO14" i="68" s="1"/>
  <c r="AT14" i="68"/>
  <c r="AU14" i="68" s="1"/>
  <c r="BM42" i="55" l="1"/>
  <c r="BM41" i="55" s="1"/>
  <c r="D13" i="32"/>
  <c r="D7" i="32"/>
  <c r="D11" i="32"/>
  <c r="D8" i="32"/>
  <c r="D10" i="32"/>
  <c r="D9" i="32"/>
  <c r="D15" i="32"/>
  <c r="D17" i="32"/>
  <c r="D12" i="32"/>
  <c r="D14" i="32"/>
  <c r="D18" i="32"/>
  <c r="D16" i="32"/>
</calcChain>
</file>

<file path=xl/sharedStrings.xml><?xml version="1.0" encoding="utf-8"?>
<sst xmlns="http://schemas.openxmlformats.org/spreadsheetml/2006/main" count="6209" uniqueCount="937">
  <si>
    <t>Public Administration</t>
  </si>
  <si>
    <t>Utilities</t>
  </si>
  <si>
    <t>Transportation or Warehousing</t>
  </si>
  <si>
    <t>Administrative and Other Support Services</t>
  </si>
  <si>
    <t>Construction</t>
  </si>
  <si>
    <t>Finance or Insurance</t>
  </si>
  <si>
    <t>Health Care or Social Services</t>
  </si>
  <si>
    <t>Professional, Scientific, or Technical Services</t>
  </si>
  <si>
    <t>Real Estate</t>
  </si>
  <si>
    <t>Fewer than 199 FTEs</t>
  </si>
  <si>
    <t>200 to 999 FTEs</t>
  </si>
  <si>
    <t>1,000 to 4,999 FTEs</t>
  </si>
  <si>
    <t>5,000 or more FTEs</t>
  </si>
  <si>
    <t>Location</t>
  </si>
  <si>
    <t>Out of State</t>
  </si>
  <si>
    <t>Puget Sound Area (King, Pierce, Snohomish)</t>
  </si>
  <si>
    <t>Western Washington (exlcuding Puget Sound)</t>
  </si>
  <si>
    <t>Eastern Washington</t>
  </si>
  <si>
    <t>State Governments</t>
  </si>
  <si>
    <t>Market Sector</t>
  </si>
  <si>
    <t>City of Everett</t>
  </si>
  <si>
    <t>City of Olympia</t>
  </si>
  <si>
    <t>City of Redmond</t>
  </si>
  <si>
    <t>City of Renton</t>
  </si>
  <si>
    <t>City of Seattle</t>
  </si>
  <si>
    <t>City of Spokane</t>
  </si>
  <si>
    <t>City of Tacoma</t>
  </si>
  <si>
    <t>City of Vancouver</t>
  </si>
  <si>
    <t>City of Yakima</t>
  </si>
  <si>
    <t>Energy Northwest</t>
  </si>
  <si>
    <t>Intercity Transit</t>
  </si>
  <si>
    <t>Jefferson County Library</t>
  </si>
  <si>
    <t>Kitsap Regional Library</t>
  </si>
  <si>
    <t>Pierce County</t>
  </si>
  <si>
    <t>Port of Everett</t>
  </si>
  <si>
    <t>Port of Seattle</t>
  </si>
  <si>
    <t>Port of Tacoma</t>
  </si>
  <si>
    <t>Sound Transit</t>
  </si>
  <si>
    <t>Spokane County</t>
  </si>
  <si>
    <t>Thurston County</t>
  </si>
  <si>
    <t>Yakima County</t>
  </si>
  <si>
    <t>State of Colorado</t>
  </si>
  <si>
    <t>State of Maryland</t>
  </si>
  <si>
    <t>State of Oregon</t>
  </si>
  <si>
    <t>State of Utah</t>
  </si>
  <si>
    <t>State of Wyoming</t>
  </si>
  <si>
    <t>In-State Public Sector</t>
  </si>
  <si>
    <t>Benchmark Job Title</t>
  </si>
  <si>
    <t>State of Washington</t>
  </si>
  <si>
    <t>Market Segment</t>
  </si>
  <si>
    <t>Agriculture or Forest Services/Products</t>
  </si>
  <si>
    <t>Media or Communications</t>
  </si>
  <si>
    <t>Retail Trade</t>
  </si>
  <si>
    <t>Customer Service Specialist 2</t>
  </si>
  <si>
    <t>Administrative Assistant 3</t>
  </si>
  <si>
    <t>Program Specialist 2</t>
  </si>
  <si>
    <t>Management Analyst 3</t>
  </si>
  <si>
    <t>Events Coordinator 3</t>
  </si>
  <si>
    <t>Forms &amp; Records Analyst 2</t>
  </si>
  <si>
    <t>Mail Carrier-Driver</t>
  </si>
  <si>
    <t>Procurement &amp; Supply Specialist 3</t>
  </si>
  <si>
    <t>Human Resource Consultant 2</t>
  </si>
  <si>
    <t>Industrial Relations Agent 2</t>
  </si>
  <si>
    <t>Custodian 2</t>
  </si>
  <si>
    <t>Grant &amp; Contract Coordinator</t>
  </si>
  <si>
    <t>Technical Training Consultant</t>
  </si>
  <si>
    <t>Forest Cruiser &amp; Craft Technician</t>
  </si>
  <si>
    <t>Forest Crew Supervisor 1</t>
  </si>
  <si>
    <t>Forest Nursery Laborer</t>
  </si>
  <si>
    <t>Horticulturist</t>
  </si>
  <si>
    <t>Agricultural Commodity Inspector 3</t>
  </si>
  <si>
    <t>Grounds &amp; Nursery Services Specialist 2</t>
  </si>
  <si>
    <t>Grain Inspector 1</t>
  </si>
  <si>
    <t>Wildland Fire Operations Technician 2</t>
  </si>
  <si>
    <t>Farmer 2</t>
  </si>
  <si>
    <t>Graphic Designer</t>
  </si>
  <si>
    <t>Recreation &amp; Athletics Specialist 2</t>
  </si>
  <si>
    <t>Sports Equipment Technician</t>
  </si>
  <si>
    <t>Preservation &amp; Museum Specialist 3</t>
  </si>
  <si>
    <t>Sewing &amp; Alterations Specialist 2</t>
  </si>
  <si>
    <t>Highway Maintenance Worker 2</t>
  </si>
  <si>
    <t>Construction Project Coordinator 2</t>
  </si>
  <si>
    <t>Construction &amp; Maintenance Superintendent 2</t>
  </si>
  <si>
    <t>Carpenter</t>
  </si>
  <si>
    <t>Painter</t>
  </si>
  <si>
    <t>Electrician</t>
  </si>
  <si>
    <t>Plumber/Pipefitter/Steamfitter</t>
  </si>
  <si>
    <t>Refrigeration Mechanic</t>
  </si>
  <si>
    <t>Maintenance Mechanic 2</t>
  </si>
  <si>
    <t>Welder - Fabricator</t>
  </si>
  <si>
    <t>Equipment Operator 2</t>
  </si>
  <si>
    <t>Vocational Education Program Specialist</t>
  </si>
  <si>
    <t>Instruction &amp; Classroom Support Technician 1</t>
  </si>
  <si>
    <t>Early Childhood Program Specialist 3</t>
  </si>
  <si>
    <t>Deaf Interpreter 3</t>
  </si>
  <si>
    <t>Library &amp; Archival Professional 2</t>
  </si>
  <si>
    <t>Actuary 2</t>
  </si>
  <si>
    <t>Financial Legal Examiner 2</t>
  </si>
  <si>
    <t>Industrial Insurance Appeals Judge 3</t>
  </si>
  <si>
    <t>Contracts Specialist 2</t>
  </si>
  <si>
    <t>Budget Analyst 2</t>
  </si>
  <si>
    <t>Fiscal Technician 2</t>
  </si>
  <si>
    <t>Cashier 2</t>
  </si>
  <si>
    <t>Auditor 2</t>
  </si>
  <si>
    <t>Audit Specialist - Dot 2</t>
  </si>
  <si>
    <t>Financial Examiner 3</t>
  </si>
  <si>
    <t>Public Benefits Specialist 3</t>
  </si>
  <si>
    <t>Tax Information Specialist 1</t>
  </si>
  <si>
    <t>Revenue Agent 2</t>
  </si>
  <si>
    <t>Support Enforcement Officer 2</t>
  </si>
  <si>
    <t>Clinical/Medical Technologist 2</t>
  </si>
  <si>
    <t>Laboratory Technician 3</t>
  </si>
  <si>
    <t>Mental Health Practitioner</t>
  </si>
  <si>
    <t>Psychiatric Child Care Counselor 1</t>
  </si>
  <si>
    <t>Social Worker 2 - Academic Medical Centers</t>
  </si>
  <si>
    <t>Residential Rehabilitation Counselor 2</t>
  </si>
  <si>
    <t>Psychology Associate</t>
  </si>
  <si>
    <t>Social Service Specialist 2</t>
  </si>
  <si>
    <t>Vocational Rehabilitation Counselor 3</t>
  </si>
  <si>
    <t>Attendant Counselor 2</t>
  </si>
  <si>
    <t>Adult Training Specialist 2</t>
  </si>
  <si>
    <t>Medical Transcriptionist 2</t>
  </si>
  <si>
    <t>Health Services Consultant 2</t>
  </si>
  <si>
    <t>Public Health Advisor 2</t>
  </si>
  <si>
    <t>Patient Services Coordinator</t>
  </si>
  <si>
    <t>Registered Nurse 2</t>
  </si>
  <si>
    <t>Licensed Practical Nurse 2</t>
  </si>
  <si>
    <t>Nursing Assistant</t>
  </si>
  <si>
    <t>Dentist</t>
  </si>
  <si>
    <t>Physician 2</t>
  </si>
  <si>
    <t>Psychiatrist</t>
  </si>
  <si>
    <t>Advanced Registered Nurse Practitioner</t>
  </si>
  <si>
    <t>Dental Hygienist 2</t>
  </si>
  <si>
    <t>Pharmacist 3</t>
  </si>
  <si>
    <t>Pharmacy Technician 2</t>
  </si>
  <si>
    <t>Imaging Technologist 2</t>
  </si>
  <si>
    <t>Diagnostic Medical Sonographer</t>
  </si>
  <si>
    <t>Radiation Therapy Dosimetrist</t>
  </si>
  <si>
    <t>Toxicologist 2</t>
  </si>
  <si>
    <t>Epidemiologist 1</t>
  </si>
  <si>
    <t>Occupational Therapist 3</t>
  </si>
  <si>
    <t>Physical Therapist 2</t>
  </si>
  <si>
    <t>Physical Therapy Assistant 2</t>
  </si>
  <si>
    <t>Speech Pathologist/Audiologist Specialist 1</t>
  </si>
  <si>
    <t>Respiratory Care Specialist</t>
  </si>
  <si>
    <t>Orthopedic Technician 1</t>
  </si>
  <si>
    <t>Dietitian 1</t>
  </si>
  <si>
    <t>Hospital Central Services Technician 1</t>
  </si>
  <si>
    <t>Histotechnologist</t>
  </si>
  <si>
    <t>Clinical Cytogenetic Technologist</t>
  </si>
  <si>
    <t>Optician, Licensed - Dispensing</t>
  </si>
  <si>
    <t>Anesthesiology Technician 2</t>
  </si>
  <si>
    <t>Electrocardiograph Technician 2</t>
  </si>
  <si>
    <t>Research Technologist 2</t>
  </si>
  <si>
    <t>Psychiatric Social Worker 2</t>
  </si>
  <si>
    <t>Developmental Disability Case/Resource Manager</t>
  </si>
  <si>
    <t>Worksource Specialist 4</t>
  </si>
  <si>
    <t>Cook 2</t>
  </si>
  <si>
    <t>Food Service Manager 2</t>
  </si>
  <si>
    <t>Laundry Worker 1</t>
  </si>
  <si>
    <t>Communications Consultant 3</t>
  </si>
  <si>
    <t>Electronic Media Producer Lead</t>
  </si>
  <si>
    <t>Photographer 2</t>
  </si>
  <si>
    <t>Digital Printing Specialist</t>
  </si>
  <si>
    <t>Community Outreach &amp; Environmental Educational Specialist 2</t>
  </si>
  <si>
    <t>Law Enforcement Equipment Technician 2</t>
  </si>
  <si>
    <t>Communications Officer 1</t>
  </si>
  <si>
    <t>Communications Systems Designer</t>
  </si>
  <si>
    <t>Natural Resource Scientist 2</t>
  </si>
  <si>
    <t>Data Consultant 2</t>
  </si>
  <si>
    <t>Forensic Scientist 3</t>
  </si>
  <si>
    <t>Property &amp; Evidence Custodian</t>
  </si>
  <si>
    <t>Hydrogeologist 3</t>
  </si>
  <si>
    <t>Microbiologist 2</t>
  </si>
  <si>
    <t>Chemist 2</t>
  </si>
  <si>
    <t>Natural Resources Technician 2</t>
  </si>
  <si>
    <t>Scientific Technician 2</t>
  </si>
  <si>
    <t>Natural Resource Specialist 2</t>
  </si>
  <si>
    <t>Fish &amp; Wildlife Biologist 2</t>
  </si>
  <si>
    <t>Veterinary Specialist 2</t>
  </si>
  <si>
    <t>Land Surveyor 3</t>
  </si>
  <si>
    <t>Facilities Engineer 2</t>
  </si>
  <si>
    <t>Civil Engineer 3</t>
  </si>
  <si>
    <t>Electrical Engineer 3</t>
  </si>
  <si>
    <t>Engineering Technician 2</t>
  </si>
  <si>
    <t>Architect 1</t>
  </si>
  <si>
    <t>Drafting Technician 2</t>
  </si>
  <si>
    <t>Cartographer 3</t>
  </si>
  <si>
    <t>Labor Relations Adjudicator/Mediator 2</t>
  </si>
  <si>
    <t>Hearings Examiner 2</t>
  </si>
  <si>
    <t>Legal Assistant 2</t>
  </si>
  <si>
    <t>Paralegal 2</t>
  </si>
  <si>
    <t>Electronics Technician 2</t>
  </si>
  <si>
    <t>Locksmith</t>
  </si>
  <si>
    <t>Instrument Maker 2</t>
  </si>
  <si>
    <t>Automotive Mechanic</t>
  </si>
  <si>
    <t>Equipment Technician 3</t>
  </si>
  <si>
    <t>Transportation Specialist 2</t>
  </si>
  <si>
    <t>Environmental Control Technician 2</t>
  </si>
  <si>
    <t>Radiation Health Physicist 3</t>
  </si>
  <si>
    <t>Fish Hatchery Specialist 2</t>
  </si>
  <si>
    <t>Investigator 2</t>
  </si>
  <si>
    <t>Weights &amp; Measures Compliance Specialist 2</t>
  </si>
  <si>
    <t>Consumer Program Specialist 2 - Utc</t>
  </si>
  <si>
    <t>Regulatory Analyst 2</t>
  </si>
  <si>
    <t>Licensing Services Representative 2</t>
  </si>
  <si>
    <t>Commerce Specialist 2</t>
  </si>
  <si>
    <t>Security Guard 2</t>
  </si>
  <si>
    <t>Campus Police Officer</t>
  </si>
  <si>
    <t>Elevator Inspector 2</t>
  </si>
  <si>
    <t>Deputy State Fire Marshal</t>
  </si>
  <si>
    <t>Emergency Management Program Specialist 2</t>
  </si>
  <si>
    <t>Retirement Specialist 2</t>
  </si>
  <si>
    <t>Workers' Compensation Adjudicator 2</t>
  </si>
  <si>
    <t>Property &amp; Acquisition Specialist 3</t>
  </si>
  <si>
    <t>Retail Clerk 2</t>
  </si>
  <si>
    <t>Lottery District Sales Representative</t>
  </si>
  <si>
    <t>Warehouse Operator 2</t>
  </si>
  <si>
    <t>Mechanical Engineer Senior</t>
  </si>
  <si>
    <t>Transportation Planning Specialist 3</t>
  </si>
  <si>
    <t>Truck Driver 2</t>
  </si>
  <si>
    <t>Aircraft Mechanic</t>
  </si>
  <si>
    <t>Commercial Vehicle Enforcement Officer 1</t>
  </si>
  <si>
    <t>Traffic Safety Systems Operator 3</t>
  </si>
  <si>
    <t>Marine Vessel Operator</t>
  </si>
  <si>
    <t>Aircraft Pilot 2</t>
  </si>
  <si>
    <t>Energy/Utilities Engineer 2</t>
  </si>
  <si>
    <t>Nuclear Engineer</t>
  </si>
  <si>
    <t>Utility Worker 2</t>
  </si>
  <si>
    <t>Wastewater Treatment Plant Operator 2</t>
  </si>
  <si>
    <t>State of Arizona</t>
  </si>
  <si>
    <t>State of California</t>
  </si>
  <si>
    <t>State of Connecticut</t>
  </si>
  <si>
    <t>State of Idaho</t>
  </si>
  <si>
    <t>State of Montana</t>
  </si>
  <si>
    <t>State of Nevada</t>
  </si>
  <si>
    <t>State of New Mexico</t>
  </si>
  <si>
    <t>IT Support Technician 2</t>
  </si>
  <si>
    <t>PBX &amp; Telephone Operator</t>
  </si>
  <si>
    <t>Arts, Entertainment, or Recreation</t>
  </si>
  <si>
    <t>Educational or Library Services</t>
  </si>
  <si>
    <t>Total</t>
  </si>
  <si>
    <t>Retirement</t>
  </si>
  <si>
    <t>Total Comp</t>
  </si>
  <si>
    <t>In-State Private Sector</t>
  </si>
  <si>
    <t>Chart Data</t>
  </si>
  <si>
    <t>Workbook Table of Contents</t>
  </si>
  <si>
    <t>Tab Title</t>
  </si>
  <si>
    <t>Tab Number</t>
  </si>
  <si>
    <t>Spokane Transit Authority</t>
  </si>
  <si>
    <t>NA</t>
  </si>
  <si>
    <t>100 Secretary Senior</t>
  </si>
  <si>
    <t>103 Administrative Assistant 3</t>
  </si>
  <si>
    <t>105 Management Analyst 3</t>
  </si>
  <si>
    <t>106 Events Coordinator 3</t>
  </si>
  <si>
    <t>108 Mail Carrier-Driver</t>
  </si>
  <si>
    <t>109 Procurement &amp; Supply Specialist 3</t>
  </si>
  <si>
    <t>110 Human Resource Consultant 2</t>
  </si>
  <si>
    <t>112 Custodian 2</t>
  </si>
  <si>
    <t>113 Grant &amp; Contract Coordinator</t>
  </si>
  <si>
    <t>114 Technical Training Consultant</t>
  </si>
  <si>
    <t>202 Forest Nursery Laborer</t>
  </si>
  <si>
    <t>203 Horticulturist</t>
  </si>
  <si>
    <t>205 Grounds &amp; Nursery Services Specialist 2</t>
  </si>
  <si>
    <t>208 Farmer 2</t>
  </si>
  <si>
    <t>300 Graphic Designer</t>
  </si>
  <si>
    <t>301 Recreation &amp; Athletics Specialist 2</t>
  </si>
  <si>
    <t>302 Sports Equipment Technician</t>
  </si>
  <si>
    <t>303 Preservation &amp; Museum Specialist 3</t>
  </si>
  <si>
    <t>304 Sewing &amp; Alterations Specialist 2</t>
  </si>
  <si>
    <t>401 Construction Project Coordinator 2</t>
  </si>
  <si>
    <t>402 Construction &amp; Maintenance Superintendent 2</t>
  </si>
  <si>
    <t>403 Carpenter</t>
  </si>
  <si>
    <t>404 Painter</t>
  </si>
  <si>
    <t>406 Electrician</t>
  </si>
  <si>
    <t>407 Plumber/Pipefitter/Steamfitter</t>
  </si>
  <si>
    <t>408 Refrigeration Mechanic</t>
  </si>
  <si>
    <t>409 Maintenance Mechanic 2</t>
  </si>
  <si>
    <t>410 Welder - Fabricator</t>
  </si>
  <si>
    <t>411 Equipment Operator 2</t>
  </si>
  <si>
    <t>502 Early Childhood Program Specialist 3</t>
  </si>
  <si>
    <t>503 Deaf Interpreter 3</t>
  </si>
  <si>
    <t>505 Library &amp; Archival Professional 2</t>
  </si>
  <si>
    <t>600 Actuary 2</t>
  </si>
  <si>
    <t>603 Contracts Specialist 2</t>
  </si>
  <si>
    <t>604 Budget Analyst 2</t>
  </si>
  <si>
    <t>605 Fiscal Technician 2</t>
  </si>
  <si>
    <t>606 Cashier 2</t>
  </si>
  <si>
    <t>607 Auditor 2</t>
  </si>
  <si>
    <t>608 Audit Specialist - Dot 2</t>
  </si>
  <si>
    <t>611 Tax Information Specialist 1</t>
  </si>
  <si>
    <t>612 Revenue Agent 2</t>
  </si>
  <si>
    <t>700 Clinical/Medical Technologist 2</t>
  </si>
  <si>
    <t>701 Laboratory Technician 3</t>
  </si>
  <si>
    <t>703 Mental Health Practitioner</t>
  </si>
  <si>
    <t>704 Psychiatric Child Care Counselor 1</t>
  </si>
  <si>
    <t>706 Residential Rehabilitation Counselor 2</t>
  </si>
  <si>
    <t>707 Psychology Associate</t>
  </si>
  <si>
    <t>708 Social Service Specialist 2</t>
  </si>
  <si>
    <t>710 Attendant Counselor 2</t>
  </si>
  <si>
    <t>711 Adult Training Specialist 2</t>
  </si>
  <si>
    <t>712 Medical Transcriptionist 2</t>
  </si>
  <si>
    <t>713 Health Services Consultant 2</t>
  </si>
  <si>
    <t>715 Patient Services Coordinator</t>
  </si>
  <si>
    <t>716 Registered Nurse 2</t>
  </si>
  <si>
    <t>717 Licensed Practical Nurse 2</t>
  </si>
  <si>
    <t>718 Nursing Assistant</t>
  </si>
  <si>
    <t>719 Dentist</t>
  </si>
  <si>
    <t>720 Physician 2</t>
  </si>
  <si>
    <t>721 Psychiatrist</t>
  </si>
  <si>
    <t>722 Advanced Registered Nurse Practitioner</t>
  </si>
  <si>
    <t>723 Dental Hygienist 2</t>
  </si>
  <si>
    <t>724 Pharmacist 3</t>
  </si>
  <si>
    <t>725 Pharmacy Technician 2</t>
  </si>
  <si>
    <t>728 Imaging Technologist 2</t>
  </si>
  <si>
    <t>729 Diagnostic Medical Sonographer</t>
  </si>
  <si>
    <t>730 Radiation Therapy Dosimetrist</t>
  </si>
  <si>
    <t>731 Toxicologist 2</t>
  </si>
  <si>
    <t>732 Epidemiologist 1</t>
  </si>
  <si>
    <t>734 Occupational Therapist 3</t>
  </si>
  <si>
    <t>735 Physical Therapist 2</t>
  </si>
  <si>
    <t>736 Physical Therapy Assistant 2</t>
  </si>
  <si>
    <t>737 Speech Pathologist/Audiologist Specialist 1</t>
  </si>
  <si>
    <t>738 Respiratory Care Specialist</t>
  </si>
  <si>
    <t>740 Dietitian 1</t>
  </si>
  <si>
    <t>741 Hospital Central Services Technician 1</t>
  </si>
  <si>
    <t>742 Histotechnologist</t>
  </si>
  <si>
    <t>743 Clinical Cytogenetic Technologist</t>
  </si>
  <si>
    <t>745 Optician, Licensed - Dispensing</t>
  </si>
  <si>
    <t>746 Anesthesiology Technician 2</t>
  </si>
  <si>
    <t>748 Electrocardiograph Technician 2</t>
  </si>
  <si>
    <t>749 Research Technologist 2</t>
  </si>
  <si>
    <t>800 Cook 2</t>
  </si>
  <si>
    <t>801 Food Service Manager 2</t>
  </si>
  <si>
    <t>802 Laundry Worker 1</t>
  </si>
  <si>
    <t>900 Communications Consultant 3</t>
  </si>
  <si>
    <t>901 Electronic Media Producer Lead</t>
  </si>
  <si>
    <t>903 Photographer 2</t>
  </si>
  <si>
    <t>904 Digital Printing Specialist</t>
  </si>
  <si>
    <t>910 Law Enforcement Equipment Technician 2</t>
  </si>
  <si>
    <t>912 Communications Systems Designer</t>
  </si>
  <si>
    <t>1100 Natural Resource Scientist 2</t>
  </si>
  <si>
    <t>1101 Data Consultant 2</t>
  </si>
  <si>
    <t>1102 Forensic Scientist 3</t>
  </si>
  <si>
    <t>1104 Hydrogeologist 3</t>
  </si>
  <si>
    <t>1105 Microbiologist 2</t>
  </si>
  <si>
    <t>1106 Chemist 2</t>
  </si>
  <si>
    <t>1107 Natural Resources Technician 2</t>
  </si>
  <si>
    <t>1108 Scientific Technician 2</t>
  </si>
  <si>
    <t>1109 Natural Resource Specialist 2</t>
  </si>
  <si>
    <t>1110 Fish &amp; Wildlife Biologist 2</t>
  </si>
  <si>
    <t>1111 Veterinary Specialist 2</t>
  </si>
  <si>
    <t>1112 Land Surveyor 3</t>
  </si>
  <si>
    <t>1113 Facilities Engineer 2</t>
  </si>
  <si>
    <t>1114 Civil Engineer 3</t>
  </si>
  <si>
    <t>1115 Electrical Engineer 3</t>
  </si>
  <si>
    <t>1116 Engineering Technician 2</t>
  </si>
  <si>
    <t>1117 Architect 1</t>
  </si>
  <si>
    <t>1118 Drafting Technician 2</t>
  </si>
  <si>
    <t>1119 Cartographer 3</t>
  </si>
  <si>
    <t>1123 Legal Assistant 2</t>
  </si>
  <si>
    <t>1124 Paralegal 2</t>
  </si>
  <si>
    <t>1125 Electronics Technician 2</t>
  </si>
  <si>
    <t>1126 Locksmith</t>
  </si>
  <si>
    <t>1127 Instrument Maker 2</t>
  </si>
  <si>
    <t>1128 Automotive Mechanic</t>
  </si>
  <si>
    <t>1129 Equipment Technician 3</t>
  </si>
  <si>
    <t>1132 Environmental Control Technician 2</t>
  </si>
  <si>
    <t>1133 Radiation Health Physicist 3</t>
  </si>
  <si>
    <t>1135 Fish Hatchery Specialist 2</t>
  </si>
  <si>
    <t>1200 Investigator 2</t>
  </si>
  <si>
    <t>1202 Consumer Program Specialist 2 - Utc</t>
  </si>
  <si>
    <t>1203 Regulatory Analyst 2</t>
  </si>
  <si>
    <t>1207 Commerce Specialist 2</t>
  </si>
  <si>
    <t>1208 Security Guard 2</t>
  </si>
  <si>
    <t>1210 Elevator Inspector 2</t>
  </si>
  <si>
    <t>1300 Property &amp; Acquisition Specialist 3</t>
  </si>
  <si>
    <t>1400 Retail Clerk 2</t>
  </si>
  <si>
    <t>1401 Lottery District Sales Representative</t>
  </si>
  <si>
    <t>1500 Warehouse Operator 2</t>
  </si>
  <si>
    <t>1502 Mechanical Engineer Senior</t>
  </si>
  <si>
    <t>1506 Aircraft Mechanic</t>
  </si>
  <si>
    <t>1509 Marine Vessel Operator</t>
  </si>
  <si>
    <t>1510 Aircraft Pilot 2</t>
  </si>
  <si>
    <t>1600 Energy/Utilities Engineer 2</t>
  </si>
  <si>
    <t>1601 Nuclear Engineer</t>
  </si>
  <si>
    <t>1602 Utility Worker 2</t>
  </si>
  <si>
    <t>1604 Stationary Engineer 2</t>
  </si>
  <si>
    <t>101 PBX &amp; Telephone Operator</t>
  </si>
  <si>
    <t>102 Customer Service Specialist 2</t>
  </si>
  <si>
    <t>104 Program Specialist 2</t>
  </si>
  <si>
    <t>107 Forms &amp; Records Analyst 2</t>
  </si>
  <si>
    <t>111 Industrial Relations Agent 2</t>
  </si>
  <si>
    <t>200 Forest Cruiser &amp; Craft Technician</t>
  </si>
  <si>
    <t>201 Forest Crew Supervisor 1</t>
  </si>
  <si>
    <t>204 Agricultural Commodity Inspector 3</t>
  </si>
  <si>
    <t>206 Grain Inspector 1</t>
  </si>
  <si>
    <t>207 Wildland Fire Operations Technician 2</t>
  </si>
  <si>
    <t>400 Highway Maintenance Worker 2</t>
  </si>
  <si>
    <t>500 Vocational Education Program Specialist</t>
  </si>
  <si>
    <t>501 Instruction &amp; Classroom Support Technician 1</t>
  </si>
  <si>
    <t>601 Financial Legal Examiner 2</t>
  </si>
  <si>
    <t>602 Industrial Insurance Appeals Judge 3</t>
  </si>
  <si>
    <t>609 Financial Examiner 3</t>
  </si>
  <si>
    <t>610 Public Benefits Specialist 3</t>
  </si>
  <si>
    <t>613 Support Enforcement Officer 2</t>
  </si>
  <si>
    <t>705 Social Worker 2 - Academic Medical Centers</t>
  </si>
  <si>
    <t>709 Vocational Rehabilitation Counselor 3</t>
  </si>
  <si>
    <t>714 Public Health Advisor 2</t>
  </si>
  <si>
    <t>753 Psychiatric Social Worker 2</t>
  </si>
  <si>
    <t>754 Developmental Disability Case/Resource Manager</t>
  </si>
  <si>
    <t>755 Worksource Specialist 4</t>
  </si>
  <si>
    <t>906 Community Outreach &amp; Environmental Educational Specialist 2</t>
  </si>
  <si>
    <t>911 Communications Officer 1</t>
  </si>
  <si>
    <t>1103 Property &amp; Evidence Custodian</t>
  </si>
  <si>
    <t>1120 Labor Relations Adjudicator/Mediator 2</t>
  </si>
  <si>
    <t>1121 Hearings Examiner 2</t>
  </si>
  <si>
    <t>1130 Transportation Specialist 2</t>
  </si>
  <si>
    <t>1201 Weights &amp; Measures Compliance Specialist 2</t>
  </si>
  <si>
    <t>1204 Licensing Services Representative 2</t>
  </si>
  <si>
    <t>1209 Campus Police Officer</t>
  </si>
  <si>
    <t>1211 Deputy State Fire Marshal</t>
  </si>
  <si>
    <t>1212 Emergency Management Program Specialist 2</t>
  </si>
  <si>
    <t>1213 Retirement Specialist 2</t>
  </si>
  <si>
    <t>1215 Workers' Compensation Adjudicator 2</t>
  </si>
  <si>
    <t>1504 Transportation Planning Specialist 3</t>
  </si>
  <si>
    <t>1505 Truck Driver 2</t>
  </si>
  <si>
    <t>1507 Commercial Vehicle Enforcement Officer 1</t>
  </si>
  <si>
    <t>1508 Traffic Safety Systems Operator 3</t>
  </si>
  <si>
    <t>1605 Wastewater Treatment Plant Operator 2</t>
  </si>
  <si>
    <t>Secretary Senior</t>
  </si>
  <si>
    <t>Stationary Engineer 2</t>
  </si>
  <si>
    <t># of Data Points</t>
  </si>
  <si>
    <t>Base Pay</t>
  </si>
  <si>
    <t>State of WA</t>
  </si>
  <si>
    <t>Total Compensation</t>
  </si>
  <si>
    <t>Base Pay Median Midpoint</t>
  </si>
  <si>
    <t>Base Pay Midpoint</t>
  </si>
  <si>
    <t>Health Benefit Cost</t>
  </si>
  <si>
    <t>Retirement Benefit Cost</t>
  </si>
  <si>
    <t>% Workforce w/ Compressed Workweek</t>
  </si>
  <si>
    <t>% Workforce w/ Flextime Schedule</t>
  </si>
  <si>
    <t>% teleworkforce</t>
  </si>
  <si>
    <t>Relocation Assist</t>
  </si>
  <si>
    <t>Tuition Assist</t>
  </si>
  <si>
    <t>Commute Assist</t>
  </si>
  <si>
    <t>Student Loan Program</t>
  </si>
  <si>
    <t>Employer Sponsored Conferences</t>
  </si>
  <si>
    <t>Membership Due Reimburse</t>
  </si>
  <si>
    <t>Online Training</t>
  </si>
  <si>
    <t>Cert/License Reimburse</t>
  </si>
  <si>
    <t>Inter-Disciplinary Groups</t>
  </si>
  <si>
    <t>Survey Response Rate</t>
  </si>
  <si>
    <t>Engagement Overall Score</t>
  </si>
  <si>
    <t>DB Retirement Age</t>
  </si>
  <si>
    <t>DC Retirement Age</t>
  </si>
  <si>
    <t>DB/DC Retirement Age</t>
  </si>
  <si>
    <t>DB DB Multiplier</t>
  </si>
  <si>
    <t>DC DB Multiplier</t>
  </si>
  <si>
    <t>DB/DC DB Multiplier</t>
  </si>
  <si>
    <t>DB COLA Increase</t>
  </si>
  <si>
    <t>DC COLA Increase</t>
  </si>
  <si>
    <t>DB/DC COLA Increase</t>
  </si>
  <si>
    <t>DB ER Cost Sharing</t>
  </si>
  <si>
    <t>DC ER Cost Sharing</t>
  </si>
  <si>
    <t>DB/DC ER Cost Sharing</t>
  </si>
  <si>
    <t>DB Max Salary Basis</t>
  </si>
  <si>
    <t>DC Max Salary Basis</t>
  </si>
  <si>
    <t>DB/DC Max Salary Basis</t>
  </si>
  <si>
    <t>No</t>
  </si>
  <si>
    <t>High-Deductible Health Plan (HDHP)</t>
  </si>
  <si>
    <t>Platinum</t>
  </si>
  <si>
    <t>Yes</t>
  </si>
  <si>
    <t>Ad hoc (no regular frequency)</t>
  </si>
  <si>
    <t>Gold</t>
  </si>
  <si>
    <t>Lowest</t>
  </si>
  <si>
    <t>Median</t>
  </si>
  <si>
    <t>Average</t>
  </si>
  <si>
    <t>Highest</t>
  </si>
  <si>
    <t>Number of Responses</t>
  </si>
  <si>
    <t>Including zeros (0s)</t>
  </si>
  <si>
    <t>Sick</t>
  </si>
  <si>
    <t>Holidays</t>
  </si>
  <si>
    <t>Excluding zeros (0s)</t>
  </si>
  <si>
    <t>--</t>
  </si>
  <si>
    <t>The State of Washington allows employees to carry-over unused Vacation and Sick Leave. Employees are allowed to bank 240 hours of Vacation leave per year and an Unlimited amount of Sick Leave per year. Employee are also allowed to cash out Vacation Leave at Termination and Retirement, but not at Year End. Vacation is cashed out at a rate of 100% Employees are allowed to cash out Sick Leave at Year End and Retirement, but not Termination. Sick Leave is cashed out at a rate of 25%.</t>
  </si>
  <si>
    <t>This Page Intentionally Left Blank</t>
  </si>
  <si>
    <t>1 Year</t>
  </si>
  <si>
    <t>14 Years</t>
  </si>
  <si>
    <t>2 Years</t>
  </si>
  <si>
    <t>15 Years</t>
  </si>
  <si>
    <t>3 Years</t>
  </si>
  <si>
    <t>16 Years</t>
  </si>
  <si>
    <t>4 years</t>
  </si>
  <si>
    <t>17 Years</t>
  </si>
  <si>
    <t>5 Years</t>
  </si>
  <si>
    <t>18 Years</t>
  </si>
  <si>
    <t>6 Years</t>
  </si>
  <si>
    <t>19 Years</t>
  </si>
  <si>
    <t>7 Years</t>
  </si>
  <si>
    <t>20 Years</t>
  </si>
  <si>
    <t>8 Years</t>
  </si>
  <si>
    <t>21 Years</t>
  </si>
  <si>
    <t>9 Years</t>
  </si>
  <si>
    <t>22 Years</t>
  </si>
  <si>
    <t>10 Years</t>
  </si>
  <si>
    <t>23 Years</t>
  </si>
  <si>
    <t>11 Years</t>
  </si>
  <si>
    <t>24 Years</t>
  </si>
  <si>
    <t>12 Years</t>
  </si>
  <si>
    <t>25 Years</t>
  </si>
  <si>
    <t>Percent of Responses</t>
  </si>
  <si>
    <t>Grade and Step</t>
  </si>
  <si>
    <t>Grades, No Steps</t>
  </si>
  <si>
    <t>Merit/ Performance Based</t>
  </si>
  <si>
    <t>Other</t>
  </si>
  <si>
    <t>Nonrepresented Employees</t>
  </si>
  <si>
    <t xml:space="preserve">The State of Washington utilizes a Grade and Step pay plan for Nonrepresented positions. </t>
  </si>
  <si>
    <t>CBA*</t>
  </si>
  <si>
    <t>All Respondents</t>
  </si>
  <si>
    <t xml:space="preserve">The State of Washington's base pay increases for Nonrepresented positions is determined by Collective Bargaining Agreements, Budget/Financial Feasibility and Revised Code of Washington 41.06.152 adopted by the State Legislature. The code requires the Office of Financial Management to review the fiscal impact and determine if the organization has the ability to afford the adjustments. </t>
  </si>
  <si>
    <t xml:space="preserve">The State of Washington's base pay increases for Nonrepresented positions is determined by Budget/Financial Feasibility and Revised Code of Washington 41.06.152 adopted by the State Legislature. The code requires the Office of Financial Management to review the fiscal impact and determine if the organization has the ability to afford the adjustments. </t>
  </si>
  <si>
    <t>Shift</t>
  </si>
  <si>
    <t>Evening</t>
  </si>
  <si>
    <t>Night</t>
  </si>
  <si>
    <t>Weekend</t>
  </si>
  <si>
    <t>Offering</t>
  </si>
  <si>
    <t>Reimbursement for membership dues to job-related professional associations</t>
  </si>
  <si>
    <t>Transportation or commuting assistance</t>
  </si>
  <si>
    <t>Base salary increases that vary or depend on individual performance</t>
  </si>
  <si>
    <t>Student loan deferral, repayment, or forgiveness program</t>
  </si>
  <si>
    <t>Merit incentives or bonuses related to organization-wide performance or business results</t>
  </si>
  <si>
    <t>Employer sponsored conferences and training modules</t>
  </si>
  <si>
    <t>Merit incentives or bonuses to recognize group/team performance or outcomes</t>
  </si>
  <si>
    <t>Relocation reimbursement (for new hires)</t>
  </si>
  <si>
    <t>Incentives or bonuses to recognize individual performance or outcomes</t>
  </si>
  <si>
    <t>Tuition assistance or reimbursement</t>
  </si>
  <si>
    <t>Gainsharing awards or bonuses (related to cost savings)</t>
  </si>
  <si>
    <t>Employer sponsored online training such as LinkedIn Learning</t>
  </si>
  <si>
    <t>Spot incentives or bonuses related to performance (unannounced cash, gift card, etc.)</t>
  </si>
  <si>
    <t>Reimbursement for fees associated with certification/licensing attainment or maintenance</t>
  </si>
  <si>
    <t>Non-cash awards related to performance (prizes, days off, plaques, etc.)</t>
  </si>
  <si>
    <t>Employer facilitated inter-disciplinary groups to accomplish tasks</t>
  </si>
  <si>
    <t>None of the above</t>
  </si>
  <si>
    <t xml:space="preserve">The State of Washington offers all of the incentives listed above for their largest civilian employee group. </t>
  </si>
  <si>
    <t>Additional pay or bonus for attaining job related skills, certifications, licenses, etc.</t>
  </si>
  <si>
    <t>Recruitment or hiring bonus</t>
  </si>
  <si>
    <t>Referral bonus</t>
  </si>
  <si>
    <t>Retention bonus, longevity pay or years of service bonus/award</t>
  </si>
  <si>
    <t>Has a compressed workweek schedule</t>
  </si>
  <si>
    <t>Has a flexible schedule (flextime)</t>
  </si>
  <si>
    <t>Teleworks at least one day every two weeks</t>
  </si>
  <si>
    <t>Response rate for the last survey</t>
  </si>
  <si>
    <t>Overall score for the question, "I would recommend my agency as a great place to work" or similar question</t>
  </si>
  <si>
    <t xml:space="preserve">The State of Washington conducts an employee engagement survey on an annual basis. </t>
  </si>
  <si>
    <t>% Indicating No Maximum</t>
  </si>
  <si>
    <t>Defined Benefit (DB) Plans</t>
  </si>
  <si>
    <t>Defined Contribution (DC) Plans</t>
  </si>
  <si>
    <t>Combined DB/DC Plan (DB portion)</t>
  </si>
  <si>
    <t>Not Applicable</t>
  </si>
  <si>
    <t>Surveyed</t>
  </si>
  <si>
    <t>Number</t>
  </si>
  <si>
    <t>Percent</t>
  </si>
  <si>
    <t>None (0%)</t>
  </si>
  <si>
    <t>35.6 hours</t>
  </si>
  <si>
    <t>1% &lt; 10%</t>
  </si>
  <si>
    <t>37.5 hours</t>
  </si>
  <si>
    <t>10% &lt; 20%</t>
  </si>
  <si>
    <t>40 hours</t>
  </si>
  <si>
    <t>20% &lt; 30%</t>
  </si>
  <si>
    <t>All*</t>
  </si>
  <si>
    <t xml:space="preserve">All </t>
  </si>
  <si>
    <t>30% &lt; 40%</t>
  </si>
  <si>
    <t>The State of Washington has a 40 hour workweek.</t>
  </si>
  <si>
    <t>The State of Washington has 5,000 or more FTEs.</t>
  </si>
  <si>
    <t>40% &lt; 50%</t>
  </si>
  <si>
    <t>50% &lt; 60%</t>
  </si>
  <si>
    <t>60% &lt; 70%</t>
  </si>
  <si>
    <t>70% &lt; 80%</t>
  </si>
  <si>
    <t>80% &lt; 90%</t>
  </si>
  <si>
    <t>90% &lt; 100%</t>
  </si>
  <si>
    <t>Annually</t>
  </si>
  <si>
    <t>Health Maintenance Organization (HMO)</t>
  </si>
  <si>
    <t>N/A</t>
  </si>
  <si>
    <t>Preferred Provider Organization (PPO)</t>
  </si>
  <si>
    <t>Professional, Scientific or Technical Services</t>
  </si>
  <si>
    <t>Information Technology</t>
  </si>
  <si>
    <t>Hospitality, Accommodation, Food Services, Personal Services</t>
  </si>
  <si>
    <t>King County</t>
  </si>
  <si>
    <t>Silver</t>
  </si>
  <si>
    <t>Count</t>
  </si>
  <si>
    <t>739 Orthopaedic Technician 1</t>
  </si>
  <si>
    <t>IT Data Management - Journey</t>
  </si>
  <si>
    <t>1704 IT Data Management - Journey</t>
  </si>
  <si>
    <t>1712 IT Support Technician 2</t>
  </si>
  <si>
    <t>Non-Represented</t>
  </si>
  <si>
    <t xml:space="preserve"> </t>
  </si>
  <si>
    <t>Termination</t>
  </si>
  <si>
    <t>Vacation</t>
  </si>
  <si>
    <t>13 Years</t>
  </si>
  <si>
    <t>CBA</t>
  </si>
  <si>
    <t>Interest Arbitration Outcome</t>
  </si>
  <si>
    <t>Budget/Financial Feasibility</t>
  </si>
  <si>
    <t>COLA</t>
  </si>
  <si>
    <t>Cost of Labor</t>
  </si>
  <si>
    <t>Union Rep</t>
  </si>
  <si>
    <t>Non-Rep</t>
  </si>
  <si>
    <t>Sr Mng</t>
  </si>
  <si>
    <t>Base Increase</t>
  </si>
  <si>
    <t>Org. Merit</t>
  </si>
  <si>
    <t>Team Merit</t>
  </si>
  <si>
    <t>Individual Bonus</t>
  </si>
  <si>
    <t>Gainsharing</t>
  </si>
  <si>
    <t>Spot Incentives</t>
  </si>
  <si>
    <t>Non-cash awards</t>
  </si>
  <si>
    <t>Skills Bonus</t>
  </si>
  <si>
    <t>Hiring Bonus</t>
  </si>
  <si>
    <t>Referral Bonus</t>
  </si>
  <si>
    <t>Retention Bonus</t>
  </si>
  <si>
    <t>Membership dues reimbursement</t>
  </si>
  <si>
    <t>Title</t>
  </si>
  <si>
    <t>Commuting assistance</t>
  </si>
  <si>
    <t>Student loan assistance</t>
  </si>
  <si>
    <t>Conferences and training modules</t>
  </si>
  <si>
    <t>Relocation reimbursement</t>
  </si>
  <si>
    <t>Tuition assistance</t>
  </si>
  <si>
    <t>Online training</t>
  </si>
  <si>
    <t>Certification/licensing reimbursement</t>
  </si>
  <si>
    <t>Inter-disciplinary groups to accomplish tasks</t>
  </si>
  <si>
    <t>Individual performance salary increases</t>
  </si>
  <si>
    <t>Organization-wide bonus or incentive</t>
  </si>
  <si>
    <t>Group/team bonus or incentive</t>
  </si>
  <si>
    <t>Individual performance bonus or incentive</t>
  </si>
  <si>
    <t>Gainsharing awards or bonuses</t>
  </si>
  <si>
    <t>Spot incentives or bonuses</t>
  </si>
  <si>
    <t>Non-cash performance awards</t>
  </si>
  <si>
    <t>Percentage</t>
  </si>
  <si>
    <t>Retention or service bonus</t>
  </si>
  <si>
    <t>Skill based pay or bonus</t>
  </si>
  <si>
    <t>Longevity Pay</t>
  </si>
  <si>
    <t>Longevity pay</t>
  </si>
  <si>
    <t>Every five years</t>
  </si>
  <si>
    <t>Every 2-3 years</t>
  </si>
  <si>
    <t>Engagement Survey Frequency</t>
  </si>
  <si>
    <t>Social Security</t>
  </si>
  <si>
    <t>Hospitality, Accommodation, Food/Personal Services</t>
  </si>
  <si>
    <t>Overall Average</t>
  </si>
  <si>
    <t>Total of survey responses</t>
  </si>
  <si>
    <t>In-state public employers and government</t>
  </si>
  <si>
    <t>In-state private sector</t>
  </si>
  <si>
    <t>State employee health care plan</t>
  </si>
  <si>
    <t>&lt; 40 hours</t>
  </si>
  <si>
    <t>Slightly behind the market by 0-25%</t>
  </si>
  <si>
    <t>Slightly ahead of the market by 0-25%</t>
  </si>
  <si>
    <t>For Formula</t>
  </si>
  <si>
    <t>All the groups combined</t>
  </si>
  <si>
    <t>Government / public sector / education</t>
  </si>
  <si>
    <t>Private sector</t>
  </si>
  <si>
    <t>State employee health care coverage</t>
  </si>
  <si>
    <t>Single employee</t>
  </si>
  <si>
    <t>Employee sharing family plan with a spouse/children (dependent)</t>
  </si>
  <si>
    <t>Overall comparison against market</t>
  </si>
  <si>
    <t>State of WA*</t>
  </si>
  <si>
    <t>The State of Washington's Senior management and Non-represented positions are eligible for recruitment or hiring bonuses. In addition, Nonrepresented positions are eligible for retention bonus, longevity pay or years of service bonuses/awards.</t>
  </si>
  <si>
    <t>The State of Washington's Senior management and Non-represented positions are eligible for recruitment or hiring bonuses. In addition, Non-represented positions are eligible for retention bonus, longevity pay or years of service bonuses/awards.</t>
  </si>
  <si>
    <t>The State of Washington's Senior Management, Union, and Non-represented positions are eligible for spot incentives related to performance and non-cash awards related to performance. In addition, Senior Management positions are also eligible for base salary increases that vary or depend on individual performance.</t>
  </si>
  <si>
    <t>Less than a third (1% &lt; 33%)</t>
  </si>
  <si>
    <t>1% &lt; 33%</t>
  </si>
  <si>
    <t>33% &lt; 50%</t>
  </si>
  <si>
    <t>50% &lt; 67%</t>
  </si>
  <si>
    <t>67% or more</t>
  </si>
  <si>
    <t>One third to one half (33% &lt; 50%)</t>
  </si>
  <si>
    <t>One half to two thirds (50% &lt; 67%)</t>
  </si>
  <si>
    <t>Two thirds or more (67%+)</t>
  </si>
  <si>
    <t>Numbers</t>
  </si>
  <si>
    <t>Insufficient data</t>
  </si>
  <si>
    <t>PPO</t>
  </si>
  <si>
    <t>HMO</t>
  </si>
  <si>
    <t>HDHP</t>
  </si>
  <si>
    <t>Benchmark</t>
  </si>
  <si>
    <t xml:space="preserve">Average </t>
  </si>
  <si>
    <t>Education or Library Services</t>
  </si>
  <si>
    <t xml:space="preserve">Hospitality, Accommodation, Food Services, or Personal Services </t>
  </si>
  <si>
    <t># of  Responses</t>
  </si>
  <si>
    <t>-</t>
  </si>
  <si>
    <t>$ Difference</t>
  </si>
  <si>
    <t>% Difference</t>
  </si>
  <si>
    <t>Base Market</t>
  </si>
  <si>
    <t>Base State</t>
  </si>
  <si>
    <t>Total Comp Market</t>
  </si>
  <si>
    <t>Total Comp State</t>
  </si>
  <si>
    <t>Consistently Successful Benchmarks</t>
  </si>
  <si>
    <t>Base</t>
  </si>
  <si>
    <t>Base salary</t>
  </si>
  <si>
    <t>In-state public sector</t>
  </si>
  <si>
    <t>State governments</t>
  </si>
  <si>
    <t>Market sector</t>
  </si>
  <si>
    <t>No. of matches</t>
  </si>
  <si>
    <t>Washington state</t>
  </si>
  <si>
    <t>How much the state lags or leads</t>
  </si>
  <si>
    <t>Total compensation</t>
  </si>
  <si>
    <t>No. of benchmark jobs</t>
  </si>
  <si>
    <t>Completed surveys received</t>
  </si>
  <si>
    <t>Data mined</t>
  </si>
  <si>
    <t>Total responses</t>
  </si>
  <si>
    <t>Response rate</t>
  </si>
  <si>
    <t>Percent in-state</t>
  </si>
  <si>
    <t>Location of in-state public survey participants</t>
  </si>
  <si>
    <t>Location of survey participants</t>
  </si>
  <si>
    <t>Size of survey participants</t>
  </si>
  <si>
    <t>In-state 
public sector</t>
  </si>
  <si>
    <t>State
governments</t>
  </si>
  <si>
    <t>All
participants</t>
  </si>
  <si>
    <t>Number of full-time employees (FTE)</t>
  </si>
  <si>
    <t>Percent union-represented</t>
  </si>
  <si>
    <t>Percent of workforce that is union-represented</t>
  </si>
  <si>
    <t>Workweek hours</t>
  </si>
  <si>
    <t>Regular workweek hours for most full-time employees</t>
  </si>
  <si>
    <t>Less than one third (1% &lt; 33%)</t>
  </si>
  <si>
    <t>No data</t>
  </si>
  <si>
    <t>Benchmark Summaries</t>
  </si>
  <si>
    <t>Pay Rates by Benchmark</t>
  </si>
  <si>
    <t>Pay Plan Types</t>
  </si>
  <si>
    <t>Pay Scale Adjustments</t>
  </si>
  <si>
    <t>Performance &amp; Incentive Pay</t>
  </si>
  <si>
    <t>Paid Leave</t>
  </si>
  <si>
    <t>Modern Work Environment</t>
  </si>
  <si>
    <t>Employee Engagement</t>
  </si>
  <si>
    <t>Survey Participants</t>
  </si>
  <si>
    <t>Shift Diff &amp; Call-Back Pay</t>
  </si>
  <si>
    <t>Ret and Health Benefits</t>
  </si>
  <si>
    <t>Location with largest no. of employees in WA</t>
  </si>
  <si>
    <t>Org name</t>
  </si>
  <si>
    <t>Market median</t>
  </si>
  <si>
    <t>Washington % to reach EMV</t>
  </si>
  <si>
    <t>Washington % to reach market total compensation</t>
  </si>
  <si>
    <t>How much the state lags or leads in base salary %</t>
  </si>
  <si>
    <t>How much the state lags or leads in total compensation %</t>
  </si>
  <si>
    <t>State of Washington 2024
State Salary Survey Data Tables</t>
  </si>
  <si>
    <t>2024 Washington State
Classified Compensation Report
Summary of Data</t>
  </si>
  <si>
    <t>Market Average</t>
  </si>
  <si>
    <t>412 Electrical Construction Inspector</t>
  </si>
  <si>
    <t>1713 Comp Industrial Safety &amp; Health Invest 2</t>
  </si>
  <si>
    <t>1214 Employment Security Program Coordinator 2</t>
  </si>
  <si>
    <t>1216 Occupational Safety &amp; Health Professional 2</t>
  </si>
  <si>
    <t>1603 Plant Manager 2
Alternate Titles:
Physical Plant Manager, Plant Engineer</t>
  </si>
  <si>
    <t>1700 IT App Development - Journey</t>
  </si>
  <si>
    <t>1701 IT Architecture - Journey</t>
  </si>
  <si>
    <t>1702 IT Business Analyst - Journey</t>
  </si>
  <si>
    <t>1703 IT Customer Support - Journey</t>
  </si>
  <si>
    <t>1705 IT Network &amp; Telecoms - Journey</t>
  </si>
  <si>
    <t>1706 IT Policy &amp; Planning - Journey</t>
  </si>
  <si>
    <t>1707 IT Project Management - Journey</t>
  </si>
  <si>
    <t>1708 IT Quality Assurance - Journey</t>
  </si>
  <si>
    <t>1709 IT Security - Journey</t>
  </si>
  <si>
    <t>1710 IT System Administration - Journey</t>
  </si>
  <si>
    <t>1711 IT Vendor Management - Journey</t>
  </si>
  <si>
    <t>Plant Manager 2
Alternate Titles:
Physical Plant Manager, Plant Engineer</t>
  </si>
  <si>
    <t>How much the state lags or leads in total compensation $</t>
  </si>
  <si>
    <t>The state’s average total compensation</t>
  </si>
  <si>
    <t>The market average total compensation</t>
  </si>
  <si>
    <t>How much the state lags or leads in base salary $</t>
  </si>
  <si>
    <t>The state’s average salary midpoint</t>
  </si>
  <si>
    <t>The market average base salary</t>
  </si>
  <si>
    <t># of Matches</t>
  </si>
  <si>
    <t>Base Salary</t>
  </si>
  <si>
    <t>Occupational Safety &amp; Health Professional 2</t>
  </si>
  <si>
    <t>Employment Security Program Coordinator 2</t>
  </si>
  <si>
    <t>Comp Industrial Safety &amp; Health Invest 2</t>
  </si>
  <si>
    <t>IT Vendor Management - Journey</t>
  </si>
  <si>
    <t>IT System Administration - Journey</t>
  </si>
  <si>
    <t>IT Security - Journey</t>
  </si>
  <si>
    <t>IT Quality Assurance - Journey</t>
  </si>
  <si>
    <t>IT Project Management - Journey</t>
  </si>
  <si>
    <t>IT Policy &amp; Planning - Journey</t>
  </si>
  <si>
    <t>IT Network &amp; Telecoms - Journey</t>
  </si>
  <si>
    <t>IT Customer Support - Journey</t>
  </si>
  <si>
    <t>IT Business Analyst - Journey</t>
  </si>
  <si>
    <t>IT Architecture - Journey</t>
  </si>
  <si>
    <t>IT App Development - Journey</t>
  </si>
  <si>
    <t>Orthopaedic Technician 1</t>
  </si>
  <si>
    <t>Electrical Construction Inspector</t>
  </si>
  <si>
    <t>Significantly ahead of the market by 25-50%</t>
  </si>
  <si>
    <t>Significantly behind the market by 25-50%</t>
  </si>
  <si>
    <t>Midpoint vs. Market</t>
  </si>
  <si>
    <t>Total Compensation vs. Market</t>
  </si>
  <si>
    <t>By Job</t>
  </si>
  <si>
    <t>Medical Cost Benchmarks</t>
  </si>
  <si>
    <t>Comparison to Market by Benchmark Job</t>
  </si>
  <si>
    <t>By Headcount</t>
  </si>
  <si>
    <t>Employee OOP Costs</t>
  </si>
  <si>
    <t>Employee Contributions</t>
  </si>
  <si>
    <t>Employer Cost</t>
  </si>
  <si>
    <t>Comparison to Market by Headcount</t>
  </si>
  <si>
    <t># of benchmark jobs</t>
  </si>
  <si>
    <t>Comparison with 2022</t>
  </si>
  <si>
    <t>Types of Pay Plans</t>
  </si>
  <si>
    <t>Years from Minimum to Maximum Salary</t>
  </si>
  <si>
    <r>
      <t xml:space="preserve">for </t>
    </r>
    <r>
      <rPr>
        <b/>
        <u/>
        <sz val="14"/>
        <color theme="8"/>
        <rFont val="Arial Narrow"/>
        <family val="2"/>
      </rPr>
      <t>Union Represented</t>
    </r>
    <r>
      <rPr>
        <b/>
        <sz val="14"/>
        <color theme="8"/>
        <rFont val="Arial Narrow"/>
        <family val="2"/>
      </rPr>
      <t xml:space="preserve"> Employees</t>
    </r>
  </si>
  <si>
    <t># of Responses</t>
  </si>
  <si>
    <t>Union Represented Employees</t>
  </si>
  <si>
    <t>Non-Represented Employees</t>
  </si>
  <si>
    <t>Median Years from Minimum to Maximum Salary</t>
  </si>
  <si>
    <t xml:space="preserve">The State of Washington utilizes a Grade and Step pay plan for Union Represented positions. </t>
  </si>
  <si>
    <r>
      <t xml:space="preserve">for </t>
    </r>
    <r>
      <rPr>
        <b/>
        <u/>
        <sz val="14"/>
        <color theme="8"/>
        <rFont val="Arial Narrow"/>
        <family val="2"/>
      </rPr>
      <t>Nonrepresented</t>
    </r>
    <r>
      <rPr>
        <b/>
        <sz val="14"/>
        <color theme="8"/>
        <rFont val="Arial Narrow"/>
        <family val="2"/>
      </rPr>
      <t xml:space="preserve"> Employees</t>
    </r>
  </si>
  <si>
    <t xml:space="preserve">Types of Pay Plans </t>
  </si>
  <si>
    <t xml:space="preserve">for Union Represented and Nonrepresented Employees </t>
  </si>
  <si>
    <t>Union</t>
  </si>
  <si>
    <t>In-State Public Sector
(N=32)</t>
  </si>
  <si>
    <t>State Governments
(N=15)</t>
  </si>
  <si>
    <t>All Respondents
(N=47)</t>
  </si>
  <si>
    <t>Pay Schedule Adjustments</t>
  </si>
  <si>
    <t>Factors that Influence Base Pay Increases</t>
  </si>
  <si>
    <t>FY2023 and FY2024</t>
  </si>
  <si>
    <r>
      <t>Union Represented Employees</t>
    </r>
    <r>
      <rPr>
        <b/>
        <sz val="14"/>
        <color theme="4"/>
        <rFont val="Arial Narrow"/>
        <family val="2"/>
      </rPr>
      <t xml:space="preserve"> </t>
    </r>
  </si>
  <si>
    <t>Interest Arbitration</t>
  </si>
  <si>
    <t>Budget/ Financial Feasibility</t>
  </si>
  <si>
    <t>Cost of Living (Inflation)</t>
  </si>
  <si>
    <t>Cost of Labor (Market)</t>
  </si>
  <si>
    <t>FY2023</t>
  </si>
  <si>
    <t>FY2024</t>
  </si>
  <si>
    <t>FY 2023</t>
  </si>
  <si>
    <t>FY 2024</t>
  </si>
  <si>
    <t xml:space="preserve">Nonrepresented Employees </t>
  </si>
  <si>
    <t>Median Pay Scale Adjustments</t>
  </si>
  <si>
    <t>Factors that Influenced FY2023 Pay Increases</t>
  </si>
  <si>
    <t>for Union Represented and Nonrepresented Employees</t>
  </si>
  <si>
    <t xml:space="preserve"> for Union Represented and Nonrepresented Employees </t>
  </si>
  <si>
    <t>All Respondents 
(N=47)</t>
  </si>
  <si>
    <t>Shift Differentials</t>
  </si>
  <si>
    <t>Call Back and Standby Pay</t>
  </si>
  <si>
    <t>Dollar Value Responses</t>
  </si>
  <si>
    <t>Percent of Pay Responses</t>
  </si>
  <si>
    <t>Total # of Responses</t>
  </si>
  <si>
    <t>Call Back Pay</t>
  </si>
  <si>
    <t>Minimum # of Hours</t>
  </si>
  <si>
    <t>Standby Pay</t>
  </si>
  <si>
    <t>Excluding Zeros (0%)</t>
  </si>
  <si>
    <t>Prevalence of Performance Based Pay</t>
  </si>
  <si>
    <t>Longevity Pay Provided</t>
  </si>
  <si>
    <t xml:space="preserve">Prevalence of Other Total Rewards Incentives </t>
  </si>
  <si>
    <t>by Employee Group</t>
  </si>
  <si>
    <t xml:space="preserve">Beyond the Maximum of the Salary Range? </t>
  </si>
  <si>
    <t>Performance Incentive</t>
  </si>
  <si>
    <t>Non-represented Employees</t>
  </si>
  <si>
    <t>Senior Management</t>
  </si>
  <si>
    <t>The State of Washington has available the last step in the classified salary structures for a longevity step available after 6 years at the previous step, approximately 2.5%.</t>
  </si>
  <si>
    <t>Prevalence of Other Incentive Pay by Employee Group</t>
  </si>
  <si>
    <t xml:space="preserve">Prevalence of Longevity Pay </t>
  </si>
  <si>
    <t>Prevalence of Performance Pay, Incentives, and Other Total Rewards</t>
  </si>
  <si>
    <t>Incentive Pay</t>
  </si>
  <si>
    <t xml:space="preserve">Type of Paid Leave Program </t>
  </si>
  <si>
    <t>Annual Number of Accrued</t>
  </si>
  <si>
    <t>Carry-Over and Cash-Out of</t>
  </si>
  <si>
    <t>Annual Number of</t>
  </si>
  <si>
    <t xml:space="preserve">Sick Leave Hours </t>
  </si>
  <si>
    <t>Unused Leave</t>
  </si>
  <si>
    <t>Paid Holidays and Personal Days</t>
  </si>
  <si>
    <t>Percent of Total Responses</t>
  </si>
  <si>
    <t>Leave Type</t>
  </si>
  <si>
    <t>PTO</t>
  </si>
  <si>
    <t>Including Zeros</t>
  </si>
  <si>
    <t>Vacation Leave</t>
  </si>
  <si>
    <t>Personal Days</t>
  </si>
  <si>
    <t>Paid Time Off Program</t>
  </si>
  <si>
    <t>Carry-Over Allowed</t>
  </si>
  <si>
    <t>Holidays and Personal Days Combined</t>
  </si>
  <si>
    <t>Unlimited Carry-Over</t>
  </si>
  <si>
    <t>Excluding Zeros</t>
  </si>
  <si>
    <t>Limited Carry-Over</t>
  </si>
  <si>
    <t>Cash-Out Allowed at:</t>
  </si>
  <si>
    <t>Year End</t>
  </si>
  <si>
    <t>Cash Out Not Allowed</t>
  </si>
  <si>
    <t>Cash-Out Rate (Median)</t>
  </si>
  <si>
    <r>
      <t xml:space="preserve">Annual Number of </t>
    </r>
    <r>
      <rPr>
        <b/>
        <u/>
        <sz val="14"/>
        <color theme="8"/>
        <rFont val="Arial Narrow"/>
        <family val="2"/>
      </rPr>
      <t>Vacation</t>
    </r>
    <r>
      <rPr>
        <b/>
        <sz val="14"/>
        <color theme="8"/>
        <rFont val="Arial Narrow"/>
        <family val="2"/>
      </rPr>
      <t xml:space="preserve"> Hours Accrued</t>
    </r>
  </si>
  <si>
    <t>Median Annual Hours for</t>
  </si>
  <si>
    <t>by Years of Service</t>
  </si>
  <si>
    <t>PTO, Vacation and Sick Leave</t>
  </si>
  <si>
    <t>Years of Service</t>
  </si>
  <si>
    <t>25+ Years</t>
  </si>
  <si>
    <r>
      <t xml:space="preserve">Annual Number of </t>
    </r>
    <r>
      <rPr>
        <b/>
        <u/>
        <sz val="14"/>
        <color theme="8"/>
        <rFont val="Arial Narrow"/>
        <family val="2"/>
      </rPr>
      <t>Paid Time Off (PTO)</t>
    </r>
    <r>
      <rPr>
        <b/>
        <sz val="14"/>
        <color theme="8"/>
        <rFont val="Arial Narrow"/>
        <family val="2"/>
      </rPr>
      <t xml:space="preserve"> Hours Accrued</t>
    </r>
  </si>
  <si>
    <t>Do Your Employees Contribute to Social Security?</t>
  </si>
  <si>
    <t>Maximum Salary Basis</t>
  </si>
  <si>
    <t>All Participants</t>
  </si>
  <si>
    <t xml:space="preserve">Normal or Typical Retirement Age </t>
  </si>
  <si>
    <t xml:space="preserve">Normal or Typical Retirement Age--Defined Benefit Plans Only </t>
  </si>
  <si>
    <t>Health Plan Types and Average Actuarial Value</t>
  </si>
  <si>
    <t>In-State Participants</t>
  </si>
  <si>
    <t>Average Actuarial Value</t>
  </si>
  <si>
    <t xml:space="preserve">Defined Benefit Multiplier </t>
  </si>
  <si>
    <t>Level of Coverage Metal Tier</t>
  </si>
  <si>
    <t>Typical Annual Cost of Living Adjustment (COLA)</t>
  </si>
  <si>
    <t xml:space="preserve">Employer Share of Plan Funding </t>
  </si>
  <si>
    <t>Compressed Workweek, Flexible Schedule, and Telework</t>
  </si>
  <si>
    <t>Percentage of Workforce that:</t>
  </si>
  <si>
    <t>% Reporting Greater than 0%</t>
  </si>
  <si>
    <t># of Total Responses</t>
  </si>
  <si>
    <t>Engagement Survey Responses</t>
  </si>
  <si>
    <t>Frequency of Engagement Surveys</t>
  </si>
  <si>
    <t>Annual Turnover Percentage (Excluding Retirement)</t>
  </si>
  <si>
    <t>Western Washington (excluding Puget Sound)</t>
  </si>
  <si>
    <t>The State of Washington is located in Western Washington (with employees across the state), as defined in this study.</t>
  </si>
  <si>
    <t xml:space="preserve">The State of Washington has 76% of their workforce unionized. </t>
  </si>
  <si>
    <t>In-State Public Sector 
(N=23)</t>
  </si>
  <si>
    <t>State Governments 
(N=8)</t>
  </si>
  <si>
    <t>All Respondents 
(N=31)</t>
  </si>
  <si>
    <t>(N=6)</t>
  </si>
  <si>
    <t>(N=28)</t>
  </si>
  <si>
    <t>(N=31)</t>
  </si>
  <si>
    <t>Ben Franklin Transit</t>
  </si>
  <si>
    <t>Chelan County PUD</t>
  </si>
  <si>
    <t>City of Bellevue</t>
  </si>
  <si>
    <t>Clark County</t>
  </si>
  <si>
    <t>Kitsap County</t>
  </si>
  <si>
    <t>Metropolitan Park District of Tacoma</t>
  </si>
  <si>
    <t>Pierce Transit</t>
  </si>
  <si>
    <t>Snohomish County</t>
  </si>
  <si>
    <t>Sno-Isle Libraries</t>
  </si>
  <si>
    <t>State of Hawaii</t>
  </si>
  <si>
    <t>State of Massachusetts</t>
  </si>
  <si>
    <t>State of New Jersey</t>
  </si>
  <si>
    <t>In State</t>
  </si>
  <si>
    <t>2024 
Base
Market</t>
  </si>
  <si>
    <t>2024
Base 
State</t>
  </si>
  <si>
    <t>2024 
Total Comp Market</t>
  </si>
  <si>
    <t>2024 
Total Comp State</t>
  </si>
  <si>
    <t>$ CHANGE 2022 TO 2024</t>
  </si>
  <si>
    <t>% CHANGE 2022 TO 2024</t>
  </si>
  <si>
    <t>2022
Base Market</t>
  </si>
  <si>
    <t>2022
Base State</t>
  </si>
  <si>
    <t>2022
Total Comp Market</t>
  </si>
  <si>
    <t>2022
Total Comp State</t>
  </si>
  <si>
    <t>State Market Comparison 2024 
(consistently successful benchmarks only)</t>
  </si>
  <si>
    <t>State Market Comparison 2022
(consistently successful benchmarks only)</t>
  </si>
  <si>
    <t>Washington State</t>
  </si>
  <si>
    <t>No. of Matches</t>
  </si>
  <si>
    <t>How much the State lags or leads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</si>
</sst>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6" formatCode="&quot;$&quot;#,##0_);[Red]\(&quot;$&quot;#,##0\)"/>
    <numFmt numFmtId="8" formatCode="&quot;$&quot;#,##0.00_);[Red]\(&quot;$&quot;#,##0.00\)"/>
    <numFmt numFmtId="164" formatCode="&quot;$&quot;#,##0"/>
    <numFmt numFmtId="165" formatCode="0.0%"/>
    <numFmt numFmtId="166" formatCode="#,##0.0"/>
    <numFmt numFmtId="167" formatCode="&quot;$&quot;#,##0.0"/>
  </numFmts>
  <fonts count="68"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12"/>
      <color theme="1"/>
      <name val="Arial"/>
      <family val="2"/>
    </font>
    <font>
      <b/>
      <sz val="16"/>
      <color theme="0"/>
      <name val="Arial"/>
      <family val="2"/>
    </font>
    <font>
      <sz val="11"/>
      <color theme="1"/>
      <name val="Calibri"/>
      <family val="2"/>
    </font>
    <font>
      <u/>
      <sz val="11"/>
      <color theme="10"/>
      <name val="Calibri"/>
      <family val="2"/>
      <scheme val="minor"/>
    </font>
    <font>
      <sz val="11"/>
      <color rgb="FFFF0000"/>
      <name val="Calibri"/>
      <family val="2"/>
      <scheme val="minor"/>
    </font>
    <font>
      <b/>
      <sz val="11"/>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4"/>
      <color theme="1"/>
      <name val="Arial Narrow"/>
      <family val="2"/>
    </font>
    <font>
      <b/>
      <sz val="14"/>
      <color rgb="FF004568"/>
      <name val="Arial Narrow"/>
      <family val="2"/>
    </font>
    <font>
      <b/>
      <sz val="12"/>
      <color theme="1"/>
      <name val="Arial Narrow"/>
      <family val="2"/>
    </font>
    <font>
      <sz val="12"/>
      <color rgb="FF000000"/>
      <name val="Arial Narrow"/>
      <family val="2"/>
    </font>
    <font>
      <sz val="12"/>
      <color theme="1"/>
      <name val="Arial Narrow"/>
      <family val="2"/>
    </font>
    <font>
      <b/>
      <sz val="12"/>
      <color rgb="FF000000"/>
      <name val="Arial Narrow"/>
      <family val="2"/>
    </font>
    <font>
      <b/>
      <sz val="16"/>
      <color theme="1"/>
      <name val="Arial Narrow"/>
      <family val="2"/>
    </font>
    <font>
      <b/>
      <sz val="12"/>
      <name val="Arial Narrow"/>
      <family val="2"/>
    </font>
    <font>
      <b/>
      <sz val="14"/>
      <color theme="5"/>
      <name val="Arial Narrow"/>
      <family val="2"/>
    </font>
    <font>
      <b/>
      <i/>
      <sz val="14"/>
      <color rgb="FF0074AF"/>
      <name val="Arial Narrow"/>
      <family val="2"/>
    </font>
    <font>
      <b/>
      <i/>
      <sz val="12"/>
      <color rgb="FF0074AF"/>
      <name val="Arial"/>
      <family val="2"/>
    </font>
    <font>
      <sz val="11"/>
      <color rgb="FF000000"/>
      <name val="Arial Narrow"/>
      <family val="2"/>
    </font>
    <font>
      <b/>
      <sz val="11"/>
      <color rgb="FF004568"/>
      <name val="Arial Narrow"/>
      <family val="2"/>
    </font>
    <font>
      <sz val="10"/>
      <color rgb="FF000000"/>
      <name val="Arial"/>
      <family val="2"/>
    </font>
    <font>
      <b/>
      <sz val="14"/>
      <color theme="8"/>
      <name val="Arial Narrow"/>
      <family val="2"/>
    </font>
    <font>
      <b/>
      <u/>
      <sz val="14"/>
      <color theme="8"/>
      <name val="Arial Narrow"/>
      <family val="2"/>
    </font>
    <font>
      <sz val="11"/>
      <color theme="8"/>
      <name val="Calibri"/>
      <family val="2"/>
      <scheme val="minor"/>
    </font>
    <font>
      <b/>
      <i/>
      <sz val="12"/>
      <color theme="4"/>
      <name val="Arial"/>
      <family val="2"/>
    </font>
    <font>
      <b/>
      <i/>
      <sz val="14"/>
      <color theme="4"/>
      <name val="Arial Narrow"/>
      <family val="2"/>
    </font>
    <font>
      <b/>
      <sz val="14"/>
      <color theme="4"/>
      <name val="Arial Narrow"/>
      <family val="2"/>
    </font>
    <font>
      <b/>
      <sz val="12"/>
      <color theme="0"/>
      <name val="Arial Narrow"/>
      <family val="2"/>
    </font>
    <font>
      <sz val="10"/>
      <name val="Times New Roman"/>
      <family val="1"/>
      <charset val="204"/>
    </font>
    <font>
      <b/>
      <sz val="12"/>
      <color indexed="8"/>
      <name val="Arial Narrow"/>
      <family val="2"/>
    </font>
    <font>
      <sz val="12"/>
      <color indexed="8"/>
      <name val="Arial Narrow"/>
      <family val="2"/>
    </font>
    <font>
      <sz val="12"/>
      <name val="Arial Narrow"/>
      <family val="2"/>
    </font>
    <font>
      <b/>
      <sz val="12"/>
      <color theme="4" tint="-0.499984740745262"/>
      <name val="Arial Narrow"/>
      <family val="2"/>
    </font>
    <font>
      <sz val="12"/>
      <color theme="4" tint="-0.499984740745262"/>
      <name val="Arial Narrow"/>
      <family val="2"/>
    </font>
    <font>
      <b/>
      <sz val="14"/>
      <color theme="0"/>
      <name val="Calibri"/>
      <family val="2"/>
      <scheme val="minor"/>
    </font>
    <font>
      <b/>
      <sz val="14"/>
      <name val="Calibri"/>
      <family val="2"/>
      <scheme val="minor"/>
    </font>
    <font>
      <sz val="14"/>
      <name val="Calibri"/>
      <family val="2"/>
      <scheme val="minor"/>
    </font>
    <font>
      <b/>
      <u/>
      <sz val="14"/>
      <color rgb="FF0070C0"/>
      <name val="Calibri"/>
      <family val="2"/>
      <scheme val="minor"/>
    </font>
    <font>
      <b/>
      <sz val="18"/>
      <color theme="8"/>
      <name val="Calibri"/>
      <family val="2"/>
      <scheme val="minor"/>
    </font>
    <font>
      <b/>
      <sz val="14"/>
      <name val="Arial Narrow"/>
      <family val="2"/>
    </font>
    <font>
      <b/>
      <sz val="16"/>
      <name val="Arial Narrow"/>
      <family val="2"/>
    </font>
    <font>
      <i/>
      <sz val="12"/>
      <color rgb="FF000000"/>
      <name val="Arial Narrow"/>
      <family val="2"/>
    </font>
    <font>
      <b/>
      <sz val="11"/>
      <color theme="1" tint="0.499984740745262"/>
      <name val="Calibri"/>
      <family val="2"/>
      <scheme val="minor"/>
    </font>
    <font>
      <sz val="11"/>
      <color theme="1" tint="0.499984740745262"/>
      <name val="Calibri"/>
      <family val="2"/>
      <scheme val="minor"/>
    </font>
    <font>
      <b/>
      <sz val="12"/>
      <color theme="1" tint="0.499984740745262"/>
      <name val="Arial Narrow"/>
      <family val="2"/>
    </font>
    <font>
      <sz val="12"/>
      <color theme="1" tint="0.499984740745262"/>
      <name val="Arial Narrow"/>
      <family val="2"/>
    </font>
    <font>
      <sz val="11"/>
      <color theme="0" tint="-0.14999847407452621"/>
      <name val="Calibri"/>
      <family val="2"/>
      <scheme val="minor"/>
    </font>
    <font>
      <b/>
      <sz val="11"/>
      <color theme="0" tint="-0.14999847407452621"/>
      <name val="Calibri"/>
      <family val="2"/>
      <scheme val="minor"/>
    </font>
    <font>
      <sz val="16"/>
      <color theme="1"/>
      <name val="Arial Narrow"/>
      <family val="2"/>
    </font>
    <font>
      <sz val="11"/>
      <color theme="3"/>
      <name val="Calibri"/>
      <family val="2"/>
      <scheme val="minor"/>
    </font>
    <font>
      <b/>
      <sz val="11"/>
      <color theme="3"/>
      <name val="Calibri"/>
      <family val="2"/>
      <scheme val="minor"/>
    </font>
    <font>
      <b/>
      <sz val="14"/>
      <color theme="4" tint="-0.499984740745262"/>
      <name val="Calibri"/>
      <family val="2"/>
      <scheme val="minor"/>
    </font>
    <font>
      <b/>
      <sz val="14"/>
      <color theme="9" tint="-0.499984740745262"/>
      <name val="Calibri"/>
      <family val="2"/>
      <scheme val="minor"/>
    </font>
    <font>
      <b/>
      <sz val="14"/>
      <color theme="3"/>
      <name val="Calibri"/>
      <family val="2"/>
      <scheme val="minor"/>
    </font>
    <font>
      <b/>
      <sz val="12"/>
      <color theme="3"/>
      <name val="Calibri"/>
      <family val="2"/>
      <scheme val="minor"/>
    </font>
    <font>
      <sz val="12"/>
      <color theme="1"/>
      <name val="Calibri"/>
      <family val="2"/>
      <scheme val="minor"/>
    </font>
    <font>
      <b/>
      <sz val="14"/>
      <color theme="1"/>
      <name val="Calibri"/>
      <family val="2"/>
      <scheme val="minor"/>
    </font>
    <font>
      <b/>
      <sz val="14"/>
      <color theme="8"/>
      <name val="Calibri"/>
      <family val="2"/>
      <scheme val="minor"/>
    </font>
    <font>
      <b/>
      <sz val="11"/>
      <color rgb="FFC00000"/>
      <name val="Calibri"/>
      <family val="2"/>
      <scheme val="minor"/>
    </font>
    <font>
      <b/>
      <sz val="14"/>
      <color theme="0" tint="-0.14999847407452621"/>
      <name val="Calibri"/>
      <family val="2"/>
      <scheme val="minor"/>
    </font>
    <font>
      <sz val="12"/>
      <color theme="0"/>
      <name val="Arial Narrow"/>
      <family val="2"/>
    </font>
    <font>
      <b/>
      <u/>
      <sz val="14"/>
      <color rgb="FF004568"/>
      <name val="Arial Narrow"/>
      <family val="2"/>
    </font>
  </fonts>
  <fills count="20">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bgColor indexed="64"/>
      </patternFill>
    </fill>
    <fill>
      <patternFill patternType="solid">
        <fgColor rgb="FFC0C0C0"/>
        <bgColor indexed="64"/>
      </patternFill>
    </fill>
    <fill>
      <patternFill patternType="solid">
        <fgColor rgb="FFEAEAEA"/>
        <bgColor indexed="64"/>
      </patternFill>
    </fill>
    <fill>
      <patternFill patternType="solid">
        <fgColor rgb="FFA5C8D7"/>
        <bgColor indexed="64"/>
      </patternFill>
    </fill>
    <fill>
      <patternFill patternType="solid">
        <fgColor rgb="FF3B6980"/>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8"/>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rgb="FFCEF7F9"/>
        <bgColor indexed="64"/>
      </patternFill>
    </fill>
    <fill>
      <patternFill patternType="solid">
        <fgColor rgb="FFE8FBFC"/>
        <bgColor indexed="64"/>
      </patternFill>
    </fill>
  </fills>
  <borders count="103">
    <border>
      <left/>
      <right/>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rgb="FFFFFFFF"/>
      </top>
      <bottom/>
      <diagonal/>
    </border>
    <border>
      <left/>
      <right/>
      <top style="thick">
        <color rgb="FFFFFFFF"/>
      </top>
      <bottom style="medium">
        <color indexed="64"/>
      </bottom>
      <diagonal/>
    </border>
    <border>
      <left/>
      <right/>
      <top/>
      <bottom style="thick">
        <color rgb="FF004568"/>
      </bottom>
      <diagonal/>
    </border>
    <border>
      <left/>
      <right/>
      <top/>
      <bottom style="medium">
        <color rgb="FF004568"/>
      </bottom>
      <diagonal/>
    </border>
    <border>
      <left/>
      <right/>
      <top style="thick">
        <color rgb="FF004568"/>
      </top>
      <bottom/>
      <diagonal/>
    </border>
    <border>
      <left/>
      <right/>
      <top/>
      <bottom style="thick">
        <color rgb="FFFFFFFF"/>
      </bottom>
      <diagonal/>
    </border>
    <border>
      <left/>
      <right/>
      <top style="medium">
        <color rgb="FF004568"/>
      </top>
      <bottom style="medium">
        <color rgb="FF004568"/>
      </bottom>
      <diagonal/>
    </border>
    <border>
      <left/>
      <right/>
      <top/>
      <bottom style="medium">
        <color rgb="FFFFFFFF"/>
      </bottom>
      <diagonal/>
    </border>
    <border>
      <left/>
      <right/>
      <top style="medium">
        <color rgb="FFFFFFFF"/>
      </top>
      <bottom/>
      <diagonal/>
    </border>
    <border>
      <left/>
      <right/>
      <top style="thick">
        <color rgb="FFFFFFFF"/>
      </top>
      <bottom style="medium">
        <color rgb="FFFFFFFF"/>
      </bottom>
      <diagonal/>
    </border>
    <border>
      <left/>
      <right/>
      <top style="medium">
        <color rgb="FF004568"/>
      </top>
      <bottom/>
      <diagonal/>
    </border>
    <border>
      <left/>
      <right style="thin">
        <color rgb="FF1DC9D2"/>
      </right>
      <top/>
      <bottom style="thin">
        <color rgb="FF1DC9D2"/>
      </bottom>
      <diagonal/>
    </border>
    <border>
      <left/>
      <right/>
      <top/>
      <bottom style="thin">
        <color rgb="FF1DC9D2"/>
      </bottom>
      <diagonal/>
    </border>
    <border>
      <left/>
      <right/>
      <top style="thin">
        <color rgb="FF1DC9D2"/>
      </top>
      <bottom style="thin">
        <color rgb="FF1DC9D2"/>
      </bottom>
      <diagonal/>
    </border>
    <border>
      <left/>
      <right style="thin">
        <color rgb="FF1DC9D2"/>
      </right>
      <top style="thin">
        <color rgb="FF1DC9D2"/>
      </top>
      <bottom style="thin">
        <color rgb="FF1DC9D2"/>
      </bottom>
      <diagonal/>
    </border>
    <border>
      <left/>
      <right/>
      <top style="thin">
        <color rgb="FF1DC9D2"/>
      </top>
      <bottom style="thin">
        <color rgb="FFFFFFFF"/>
      </bottom>
      <diagonal/>
    </border>
    <border>
      <left/>
      <right/>
      <top style="thin">
        <color rgb="FFFFFFFF"/>
      </top>
      <bottom style="thin">
        <color rgb="FF1DC9D2"/>
      </bottom>
      <diagonal/>
    </border>
    <border>
      <left style="thin">
        <color indexed="64"/>
      </left>
      <right/>
      <top style="thin">
        <color indexed="64"/>
      </top>
      <bottom style="thin">
        <color indexed="64"/>
      </bottom>
      <diagonal/>
    </border>
    <border>
      <left style="thin">
        <color rgb="FF1DC9D2"/>
      </left>
      <right/>
      <top style="thin">
        <color rgb="FF1DC9D2"/>
      </top>
      <bottom style="thin">
        <color rgb="FF1DC9D2"/>
      </bottom>
      <diagonal/>
    </border>
    <border>
      <left style="thin">
        <color rgb="FF1DC9D2"/>
      </left>
      <right/>
      <top style="thin">
        <color rgb="FFFFFFFF"/>
      </top>
      <bottom style="thin">
        <color rgb="FF1DC9D2"/>
      </bottom>
      <diagonal/>
    </border>
    <border>
      <left/>
      <right/>
      <top style="thin">
        <color rgb="FF1DC9D2"/>
      </top>
      <bottom/>
      <diagonal/>
    </border>
    <border>
      <left style="thin">
        <color rgb="FF1DC9D2"/>
      </left>
      <right/>
      <top style="thin">
        <color rgb="FF1DC9D2"/>
      </top>
      <bottom/>
      <diagonal/>
    </border>
    <border>
      <left/>
      <right style="thin">
        <color rgb="FF1DC9D2"/>
      </right>
      <top style="thin">
        <color rgb="FF1DC9D2"/>
      </top>
      <bottom/>
      <diagonal/>
    </border>
    <border>
      <left style="thin">
        <color indexed="64"/>
      </left>
      <right/>
      <top style="thick">
        <color rgb="FFFFFFFF"/>
      </top>
      <bottom style="medium">
        <color indexed="64"/>
      </bottom>
      <diagonal/>
    </border>
    <border>
      <left style="thin">
        <color indexed="64"/>
      </left>
      <right/>
      <top/>
      <bottom style="thick">
        <color rgb="FFFFFFFF"/>
      </bottom>
      <diagonal/>
    </border>
    <border>
      <left style="thin">
        <color indexed="64"/>
      </left>
      <right/>
      <top style="thick">
        <color rgb="FFFFFFFF"/>
      </top>
      <bottom/>
      <diagonal/>
    </border>
    <border>
      <left/>
      <right style="thin">
        <color rgb="FF1DC9D2"/>
      </right>
      <top style="thin">
        <color rgb="FF1DC9D2"/>
      </top>
      <bottom style="thin">
        <color rgb="FFFFFFFF"/>
      </bottom>
      <diagonal/>
    </border>
    <border>
      <left style="thin">
        <color rgb="FF1DC9D2"/>
      </left>
      <right/>
      <top style="thin">
        <color rgb="FF1DC9D2"/>
      </top>
      <bottom style="thin">
        <color rgb="FFFFFFFF"/>
      </bottom>
      <diagonal/>
    </border>
    <border>
      <left/>
      <right style="thin">
        <color rgb="FF1DC9D2"/>
      </right>
      <top style="thin">
        <color rgb="FFFFFFFF"/>
      </top>
      <bottom style="thin">
        <color rgb="FF1DC9D2"/>
      </bottom>
      <diagonal/>
    </border>
    <border>
      <left style="thin">
        <color theme="9" tint="0.79998168889431442"/>
      </left>
      <right/>
      <top style="thin">
        <color theme="9" tint="0.79998168889431442"/>
      </top>
      <bottom style="thin">
        <color theme="9" tint="0.79998168889431442"/>
      </bottom>
      <diagonal/>
    </border>
    <border>
      <left/>
      <right/>
      <top style="thin">
        <color theme="9" tint="0.79998168889431442"/>
      </top>
      <bottom style="thin">
        <color theme="9" tint="0.79998168889431442"/>
      </bottom>
      <diagonal/>
    </border>
    <border>
      <left/>
      <right style="thin">
        <color theme="9" tint="0.79998168889431442"/>
      </right>
      <top style="thin">
        <color theme="9" tint="0.79998168889431442"/>
      </top>
      <bottom style="thin">
        <color theme="9" tint="0.79998168889431442"/>
      </bottom>
      <diagonal/>
    </border>
    <border>
      <left/>
      <right/>
      <top style="hair">
        <color theme="1" tint="0.499984740745262"/>
      </top>
      <bottom style="hair">
        <color theme="1" tint="0.499984740745262"/>
      </bottom>
      <diagonal/>
    </border>
    <border>
      <left style="thin">
        <color theme="9" tint="0.79995117038483843"/>
      </left>
      <right style="thin">
        <color theme="9" tint="0.79998168889431442"/>
      </right>
      <top style="thin">
        <color theme="9" tint="0.79998168889431442"/>
      </top>
      <bottom style="thin">
        <color theme="9" tint="0.79998168889431442"/>
      </bottom>
      <diagonal/>
    </border>
    <border>
      <left style="thin">
        <color theme="9" tint="0.79995117038483843"/>
      </left>
      <right/>
      <top style="thin">
        <color theme="9" tint="0.79998168889431442"/>
      </top>
      <bottom style="thin">
        <color theme="9" tint="0.79998168889431442"/>
      </bottom>
      <diagonal/>
    </border>
    <border>
      <left style="thin">
        <color theme="9" tint="0.79998168889431442"/>
      </left>
      <right/>
      <top style="thin">
        <color theme="9" tint="0.79998168889431442"/>
      </top>
      <bottom/>
      <diagonal/>
    </border>
    <border>
      <left style="thin">
        <color theme="3"/>
      </left>
      <right/>
      <top/>
      <bottom/>
      <diagonal/>
    </border>
    <border>
      <left style="thin">
        <color theme="3"/>
      </left>
      <right/>
      <top style="hair">
        <color theme="1" tint="0.499984740745262"/>
      </top>
      <bottom style="hair">
        <color theme="1" tint="0.499984740745262"/>
      </bottom>
      <diagonal/>
    </border>
    <border>
      <left/>
      <right/>
      <top style="hair">
        <color rgb="FF004568"/>
      </top>
      <bottom style="hair">
        <color rgb="FF004568"/>
      </bottom>
      <diagonal/>
    </border>
    <border>
      <left/>
      <right/>
      <top style="hair">
        <color rgb="FF004568"/>
      </top>
      <bottom style="medium">
        <color rgb="FF004568"/>
      </bottom>
      <diagonal/>
    </border>
    <border>
      <left/>
      <right/>
      <top/>
      <bottom style="hair">
        <color rgb="FF004568"/>
      </bottom>
      <diagonal/>
    </border>
    <border>
      <left/>
      <right/>
      <top style="medium">
        <color rgb="FF004568"/>
      </top>
      <bottom style="hair">
        <color rgb="FF004568"/>
      </bottom>
      <diagonal/>
    </border>
    <border>
      <left style="thin">
        <color rgb="FF004568"/>
      </left>
      <right/>
      <top style="medium">
        <color rgb="FF004568"/>
      </top>
      <bottom style="hair">
        <color rgb="FF004568"/>
      </bottom>
      <diagonal/>
    </border>
    <border>
      <left style="thin">
        <color rgb="FF004568"/>
      </left>
      <right/>
      <top style="hair">
        <color rgb="FF004568"/>
      </top>
      <bottom style="hair">
        <color rgb="FF004568"/>
      </bottom>
      <diagonal/>
    </border>
    <border>
      <left style="thin">
        <color rgb="FF004568"/>
      </left>
      <right/>
      <top style="hair">
        <color rgb="FF004568"/>
      </top>
      <bottom style="medium">
        <color rgb="FF004568"/>
      </bottom>
      <diagonal/>
    </border>
    <border>
      <left style="thin">
        <color rgb="FF004568"/>
      </left>
      <right/>
      <top/>
      <bottom/>
      <diagonal/>
    </border>
    <border>
      <left style="thin">
        <color rgb="FF004568"/>
      </left>
      <right/>
      <top/>
      <bottom style="hair">
        <color rgb="FF004568"/>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style="medium">
        <color rgb="FF004568"/>
      </top>
      <bottom style="hair">
        <color rgb="FF004568"/>
      </bottom>
      <diagonal/>
    </border>
    <border>
      <left/>
      <right style="thin">
        <color theme="0" tint="-0.249977111117893"/>
      </right>
      <top style="medium">
        <color rgb="FF004568"/>
      </top>
      <bottom style="hair">
        <color rgb="FF004568"/>
      </bottom>
      <diagonal/>
    </border>
    <border>
      <left style="thin">
        <color theme="0" tint="-0.249977111117893"/>
      </left>
      <right/>
      <top style="hair">
        <color rgb="FF004568"/>
      </top>
      <bottom style="hair">
        <color rgb="FF004568"/>
      </bottom>
      <diagonal/>
    </border>
    <border>
      <left/>
      <right style="thin">
        <color theme="0" tint="-0.249977111117893"/>
      </right>
      <top style="hair">
        <color rgb="FF004568"/>
      </top>
      <bottom style="hair">
        <color rgb="FF004568"/>
      </bottom>
      <diagonal/>
    </border>
    <border>
      <left/>
      <right/>
      <top style="medium">
        <color indexed="64"/>
      </top>
      <bottom style="thin">
        <color indexed="64"/>
      </bottom>
      <diagonal/>
    </border>
    <border>
      <left/>
      <right/>
      <top style="medium">
        <color indexed="64"/>
      </top>
      <bottom style="medium">
        <color indexed="64"/>
      </bottom>
      <diagonal/>
    </border>
    <border>
      <left/>
      <right/>
      <top/>
      <bottom style="thick">
        <color indexed="64"/>
      </bottom>
      <diagonal/>
    </border>
    <border>
      <left/>
      <right/>
      <top style="medium">
        <color indexed="64"/>
      </top>
      <bottom style="thick">
        <color auto="1"/>
      </bottom>
      <diagonal/>
    </border>
    <border>
      <left/>
      <right/>
      <top style="thick">
        <color indexed="64"/>
      </top>
      <bottom style="thick">
        <color indexed="64"/>
      </bottom>
      <diagonal/>
    </border>
    <border>
      <left/>
      <right/>
      <top style="thick">
        <color theme="1"/>
      </top>
      <bottom/>
      <diagonal/>
    </border>
    <border>
      <left/>
      <right/>
      <top style="thick">
        <color theme="1"/>
      </top>
      <bottom style="medium">
        <color indexed="64"/>
      </bottom>
      <diagonal/>
    </border>
    <border>
      <left style="thin">
        <color indexed="64"/>
      </left>
      <right/>
      <top/>
      <bottom style="thick">
        <color rgb="FF004568"/>
      </bottom>
      <diagonal/>
    </border>
    <border>
      <left/>
      <right/>
      <top style="medium">
        <color auto="1"/>
      </top>
      <bottom style="thick">
        <color rgb="FF004568"/>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top style="thick">
        <color indexed="64"/>
      </top>
      <bottom/>
      <diagonal/>
    </border>
    <border>
      <left/>
      <right/>
      <top style="thick">
        <color indexed="64"/>
      </top>
      <bottom style="medium">
        <color indexed="64"/>
      </bottom>
      <diagonal/>
    </border>
    <border>
      <left style="thin">
        <color indexed="64"/>
      </left>
      <right/>
      <top/>
      <bottom style="thick">
        <color indexed="64"/>
      </bottom>
      <diagonal/>
    </border>
    <border>
      <left/>
      <right/>
      <top style="thick">
        <color rgb="FF004568"/>
      </top>
      <bottom style="medium">
        <color rgb="FF004568"/>
      </bottom>
      <diagonal/>
    </border>
    <border>
      <left style="thin">
        <color indexed="64"/>
      </left>
      <right/>
      <top style="thick">
        <color rgb="FF004568"/>
      </top>
      <bottom style="medium">
        <color rgb="FF004568"/>
      </bottom>
      <diagonal/>
    </border>
    <border>
      <left style="thin">
        <color indexed="64"/>
      </left>
      <right/>
      <top/>
      <bottom style="medium">
        <color rgb="FF004568"/>
      </bottom>
      <diagonal/>
    </border>
    <border>
      <left/>
      <right/>
      <top style="medium">
        <color rgb="FFFFFFFF"/>
      </top>
      <bottom style="thick">
        <color rgb="FF004568"/>
      </bottom>
      <diagonal/>
    </border>
    <border>
      <left/>
      <right/>
      <top/>
      <bottom style="medium">
        <color rgb="FF3B6980"/>
      </bottom>
      <diagonal/>
    </border>
    <border>
      <left/>
      <right/>
      <top style="medium">
        <color rgb="FF1DCAD3"/>
      </top>
      <bottom style="medium">
        <color rgb="FF1DCAD3"/>
      </bottom>
      <diagonal/>
    </border>
    <border>
      <left/>
      <right/>
      <top/>
      <bottom style="medium">
        <color rgb="FF00448A"/>
      </bottom>
      <diagonal/>
    </border>
    <border>
      <left/>
      <right/>
      <top style="thick">
        <color indexed="64"/>
      </top>
      <bottom style="thick">
        <color rgb="FF3B6980"/>
      </bottom>
      <diagonal/>
    </border>
    <border>
      <left/>
      <right/>
      <top style="medium">
        <color rgb="FF004568"/>
      </top>
      <bottom style="medium">
        <color rgb="FF3B6980"/>
      </bottom>
      <diagonal/>
    </border>
    <border>
      <left/>
      <right/>
      <top style="medium">
        <color rgb="FF3B6980"/>
      </top>
      <bottom style="thick">
        <color rgb="FF3B6980"/>
      </bottom>
      <diagonal/>
    </border>
    <border>
      <left/>
      <right/>
      <top style="medium">
        <color rgb="FF3B6980"/>
      </top>
      <bottom style="medium">
        <color rgb="FF3B6980"/>
      </bottom>
      <diagonal/>
    </border>
    <border>
      <left/>
      <right/>
      <top style="thick">
        <color rgb="FFFFFFFF"/>
      </top>
      <bottom style="thick">
        <color rgb="FF004568"/>
      </bottom>
      <diagonal/>
    </border>
    <border>
      <left style="thin">
        <color indexed="64"/>
      </left>
      <right/>
      <top style="thick">
        <color rgb="FFFFFFFF"/>
      </top>
      <bottom style="thick">
        <color rgb="FF004568"/>
      </bottom>
      <diagonal/>
    </border>
    <border>
      <left style="thin">
        <color indexed="64"/>
      </left>
      <right/>
      <top style="medium">
        <color rgb="FF004568"/>
      </top>
      <bottom style="medium">
        <color rgb="FF004568"/>
      </bottom>
      <diagonal/>
    </border>
    <border>
      <left/>
      <right/>
      <top style="thick">
        <color rgb="FFFFFFFF"/>
      </top>
      <bottom style="thick">
        <color rgb="FF1DCAD3"/>
      </bottom>
      <diagonal/>
    </border>
    <border>
      <left style="thick">
        <color rgb="FF1DCAD3"/>
      </left>
      <right/>
      <top style="thick">
        <color rgb="FFFFFFFF"/>
      </top>
      <bottom style="thick">
        <color rgb="FF1DCAD3"/>
      </bottom>
      <diagonal/>
    </border>
    <border>
      <left/>
      <right/>
      <top/>
      <bottom style="medium">
        <color rgb="FF1DCAD3"/>
      </bottom>
      <diagonal/>
    </border>
    <border>
      <left style="thick">
        <color rgb="FF1DCAD3"/>
      </left>
      <right/>
      <top/>
      <bottom style="medium">
        <color rgb="FF1DCAD3"/>
      </bottom>
      <diagonal/>
    </border>
    <border>
      <left/>
      <right/>
      <top/>
      <bottom style="thick">
        <color rgb="FF1DCAD3"/>
      </bottom>
      <diagonal/>
    </border>
    <border>
      <left style="thick">
        <color rgb="FF1DCAD3"/>
      </left>
      <right/>
      <top/>
      <bottom style="thick">
        <color rgb="FF1DCAD3"/>
      </bottom>
      <diagonal/>
    </border>
    <border>
      <left/>
      <right/>
      <top style="medium">
        <color rgb="FF004568"/>
      </top>
      <bottom style="thick">
        <color rgb="FF004568"/>
      </bottom>
      <diagonal/>
    </border>
  </borders>
  <cellStyleXfs count="6">
    <xf numFmtId="0" fontId="0" fillId="0" borderId="0"/>
    <xf numFmtId="9" fontId="1" fillId="0" borderId="0" applyFont="0" applyFill="0" applyBorder="0" applyAlignment="0" applyProtection="0"/>
    <xf numFmtId="0" fontId="6" fillId="0" borderId="0"/>
    <xf numFmtId="0" fontId="7" fillId="0" borderId="0" applyNumberFormat="0" applyFill="0" applyBorder="0" applyAlignment="0" applyProtection="0"/>
    <xf numFmtId="0" fontId="3" fillId="0" borderId="0"/>
    <xf numFmtId="0" fontId="26" fillId="0" borderId="0"/>
  </cellStyleXfs>
  <cellXfs count="592">
    <xf numFmtId="0" fontId="0" fillId="0" borderId="0" xfId="0"/>
    <xf numFmtId="0" fontId="3" fillId="3" borderId="0" xfId="0" applyFont="1" applyFill="1"/>
    <xf numFmtId="0" fontId="4" fillId="3" borderId="0" xfId="0" applyFont="1" applyFill="1"/>
    <xf numFmtId="0" fontId="5" fillId="6" borderId="5" xfId="0" applyFont="1" applyFill="1" applyBorder="1" applyAlignment="1">
      <alignment horizontal="centerContinuous" wrapText="1"/>
    </xf>
    <xf numFmtId="0" fontId="3" fillId="6" borderId="5" xfId="0" applyFont="1" applyFill="1" applyBorder="1"/>
    <xf numFmtId="0" fontId="3" fillId="6" borderId="7" xfId="0" applyFont="1" applyFill="1" applyBorder="1"/>
    <xf numFmtId="0" fontId="3" fillId="6" borderId="2" xfId="0" applyFont="1" applyFill="1" applyBorder="1"/>
    <xf numFmtId="0" fontId="3" fillId="6" borderId="3" xfId="0" applyFont="1" applyFill="1" applyBorder="1"/>
    <xf numFmtId="0" fontId="4" fillId="6" borderId="0" xfId="0" applyFont="1" applyFill="1" applyAlignment="1">
      <alignment horizontal="centerContinuous"/>
    </xf>
    <xf numFmtId="0" fontId="3" fillId="6" borderId="4" xfId="0" applyFont="1" applyFill="1" applyBorder="1"/>
    <xf numFmtId="0" fontId="4" fillId="6" borderId="6" xfId="0" applyFont="1" applyFill="1" applyBorder="1" applyAlignment="1">
      <alignment horizontal="centerContinuous"/>
    </xf>
    <xf numFmtId="0" fontId="3" fillId="6" borderId="6" xfId="0" applyFont="1" applyFill="1" applyBorder="1"/>
    <xf numFmtId="0" fontId="3" fillId="6" borderId="8" xfId="0" applyFont="1" applyFill="1" applyBorder="1"/>
    <xf numFmtId="0" fontId="3" fillId="6" borderId="9" xfId="0" applyFont="1" applyFill="1" applyBorder="1"/>
    <xf numFmtId="0" fontId="2" fillId="0" borderId="0" xfId="0" applyFont="1"/>
    <xf numFmtId="0" fontId="0" fillId="0" borderId="0" xfId="0" applyAlignment="1">
      <alignment horizontal="center"/>
    </xf>
    <xf numFmtId="0" fontId="14" fillId="0" borderId="0" xfId="0" applyFont="1" applyAlignment="1">
      <alignment horizontal="center"/>
    </xf>
    <xf numFmtId="0" fontId="15" fillId="0" borderId="0" xfId="0" applyFont="1" applyAlignment="1">
      <alignment horizontal="center" vertical="center" wrapText="1"/>
    </xf>
    <xf numFmtId="0" fontId="14" fillId="0" borderId="0" xfId="0" applyFont="1" applyAlignment="1">
      <alignment vertical="center"/>
    </xf>
    <xf numFmtId="0" fontId="8" fillId="0" borderId="0" xfId="0" applyFont="1" applyAlignment="1">
      <alignment vertical="center"/>
    </xf>
    <xf numFmtId="0" fontId="0" fillId="0" borderId="0" xfId="0" applyAlignment="1">
      <alignment vertical="center"/>
    </xf>
    <xf numFmtId="0" fontId="22" fillId="0" borderId="21" xfId="0" applyFont="1" applyBorder="1" applyAlignment="1">
      <alignment vertical="center"/>
    </xf>
    <xf numFmtId="0" fontId="15" fillId="0" borderId="22" xfId="0" applyFont="1" applyBorder="1" applyAlignment="1">
      <alignment horizontal="center" vertical="center" wrapText="1"/>
    </xf>
    <xf numFmtId="0" fontId="15" fillId="0" borderId="23" xfId="0" applyFont="1" applyBorder="1" applyAlignment="1">
      <alignment horizontal="left" vertical="center" wrapText="1"/>
    </xf>
    <xf numFmtId="0" fontId="13" fillId="0" borderId="0" xfId="0" applyFont="1" applyAlignment="1">
      <alignment horizontal="center"/>
    </xf>
    <xf numFmtId="0" fontId="15" fillId="0" borderId="14" xfId="0" applyFont="1" applyBorder="1" applyAlignment="1">
      <alignment horizontal="center" vertical="center" wrapText="1"/>
    </xf>
    <xf numFmtId="0" fontId="25" fillId="0" borderId="0" xfId="0" applyFont="1" applyAlignment="1">
      <alignment horizontal="center"/>
    </xf>
    <xf numFmtId="0" fontId="15" fillId="0" borderId="0" xfId="0" applyFont="1" applyAlignment="1">
      <alignment wrapText="1"/>
    </xf>
    <xf numFmtId="0" fontId="15" fillId="0" borderId="0" xfId="0" applyFont="1" applyAlignment="1">
      <alignment vertical="center" wrapText="1"/>
    </xf>
    <xf numFmtId="0" fontId="19" fillId="0" borderId="0" xfId="0" applyFont="1" applyAlignment="1">
      <alignment vertical="center"/>
    </xf>
    <xf numFmtId="0" fontId="15" fillId="0" borderId="14" xfId="0" applyFont="1" applyBorder="1" applyAlignment="1">
      <alignment horizontal="left" vertical="center" wrapText="1"/>
    </xf>
    <xf numFmtId="0" fontId="12" fillId="0" borderId="0" xfId="0" applyFont="1"/>
    <xf numFmtId="0" fontId="14" fillId="0" borderId="0" xfId="0" applyFont="1" applyAlignment="1">
      <alignment horizontal="centerContinuous" vertical="center"/>
    </xf>
    <xf numFmtId="0" fontId="14" fillId="0" borderId="19" xfId="0" applyFont="1" applyBorder="1" applyAlignment="1">
      <alignment horizontal="centerContinuous" vertical="center"/>
    </xf>
    <xf numFmtId="0" fontId="21" fillId="0" borderId="0" xfId="0" applyFont="1" applyAlignment="1">
      <alignment horizontal="centerContinuous"/>
    </xf>
    <xf numFmtId="0" fontId="12" fillId="0" borderId="0" xfId="0" applyFont="1" applyAlignment="1">
      <alignment horizontal="center"/>
    </xf>
    <xf numFmtId="0" fontId="11" fillId="0" borderId="0" xfId="0" applyFont="1" applyAlignment="1">
      <alignment horizontal="center"/>
    </xf>
    <xf numFmtId="0" fontId="11" fillId="0" borderId="0" xfId="0" applyFont="1" applyAlignment="1">
      <alignment horizontal="right"/>
    </xf>
    <xf numFmtId="9" fontId="12" fillId="0" borderId="0" xfId="0" applyNumberFormat="1" applyFont="1" applyAlignment="1">
      <alignment horizontal="center"/>
    </xf>
    <xf numFmtId="0" fontId="27" fillId="0" borderId="0" xfId="0" applyFont="1" applyAlignment="1">
      <alignment horizontal="centerContinuous"/>
    </xf>
    <xf numFmtId="0" fontId="27" fillId="0" borderId="0" xfId="0" applyFont="1" applyAlignment="1">
      <alignment horizontal="centerContinuous" vertical="center"/>
    </xf>
    <xf numFmtId="0" fontId="27" fillId="0" borderId="19" xfId="0" applyFont="1" applyBorder="1" applyAlignment="1">
      <alignment horizontal="centerContinuous" vertical="center"/>
    </xf>
    <xf numFmtId="0" fontId="29" fillId="0" borderId="0" xfId="0" applyFont="1" applyAlignment="1">
      <alignment horizontal="centerContinuous"/>
    </xf>
    <xf numFmtId="0" fontId="15" fillId="13" borderId="14" xfId="0" applyFont="1" applyFill="1" applyBorder="1" applyAlignment="1">
      <alignment horizontal="center" vertical="center" wrapText="1"/>
    </xf>
    <xf numFmtId="0" fontId="23" fillId="0" borderId="19" xfId="0" applyFont="1" applyBorder="1" applyAlignment="1">
      <alignment horizontal="centerContinuous" vertical="center"/>
    </xf>
    <xf numFmtId="0" fontId="30" fillId="0" borderId="19" xfId="0" applyFont="1" applyBorder="1" applyAlignment="1">
      <alignment horizontal="centerContinuous" vertical="center"/>
    </xf>
    <xf numFmtId="0" fontId="15" fillId="0" borderId="15" xfId="0" applyFont="1" applyBorder="1" applyAlignment="1">
      <alignment horizontal="centerContinuous" vertical="center" wrapText="1"/>
    </xf>
    <xf numFmtId="0" fontId="0" fillId="0" borderId="0" xfId="0" applyAlignment="1">
      <alignment horizontal="centerContinuous"/>
    </xf>
    <xf numFmtId="0" fontId="12" fillId="0" borderId="0" xfId="0" applyFont="1" applyAlignment="1">
      <alignment vertical="center"/>
    </xf>
    <xf numFmtId="0" fontId="12" fillId="0" borderId="0" xfId="0" applyFont="1" applyAlignment="1">
      <alignment horizontal="center" shrinkToFit="1"/>
    </xf>
    <xf numFmtId="10" fontId="12" fillId="0" borderId="0" xfId="0" applyNumberFormat="1" applyFont="1" applyAlignment="1">
      <alignment horizontal="center"/>
    </xf>
    <xf numFmtId="0" fontId="13" fillId="0" borderId="0" xfId="0" applyFont="1" applyAlignment="1">
      <alignment horizontal="centerContinuous"/>
    </xf>
    <xf numFmtId="0" fontId="27" fillId="0" borderId="21" xfId="0" applyFont="1" applyBorder="1" applyAlignment="1">
      <alignment horizontal="centerContinuous" vertical="center"/>
    </xf>
    <xf numFmtId="0" fontId="28" fillId="0" borderId="21" xfId="0" applyFont="1" applyBorder="1" applyAlignment="1">
      <alignment horizontal="centerContinuous" vertical="center"/>
    </xf>
    <xf numFmtId="0" fontId="27" fillId="0" borderId="21" xfId="0" applyFont="1" applyBorder="1" applyAlignment="1">
      <alignment horizontal="centerContinuous" wrapText="1"/>
    </xf>
    <xf numFmtId="0" fontId="34" fillId="0" borderId="0" xfId="0" applyFont="1" applyAlignment="1">
      <alignment vertical="top" wrapText="1"/>
    </xf>
    <xf numFmtId="0" fontId="36" fillId="0" borderId="27" xfId="0" applyFont="1" applyBorder="1" applyAlignment="1">
      <alignment vertical="center" wrapText="1"/>
    </xf>
    <xf numFmtId="1" fontId="36" fillId="0" borderId="27" xfId="0" applyNumberFormat="1" applyFont="1" applyBorder="1" applyAlignment="1">
      <alignment horizontal="center" vertical="top" wrapText="1"/>
    </xf>
    <xf numFmtId="0" fontId="36" fillId="12" borderId="27" xfId="0" applyFont="1" applyFill="1" applyBorder="1" applyAlignment="1">
      <alignment vertical="center" wrapText="1"/>
    </xf>
    <xf numFmtId="1" fontId="36" fillId="12" borderId="27" xfId="0" applyNumberFormat="1" applyFont="1" applyFill="1" applyBorder="1" applyAlignment="1">
      <alignment horizontal="center" vertical="top" wrapText="1"/>
    </xf>
    <xf numFmtId="0" fontId="36" fillId="12" borderId="29" xfId="0" applyFont="1" applyFill="1" applyBorder="1" applyAlignment="1">
      <alignment vertical="center" wrapText="1"/>
    </xf>
    <xf numFmtId="1" fontId="36" fillId="12" borderId="29" xfId="0" applyNumberFormat="1" applyFont="1" applyFill="1" applyBorder="1" applyAlignment="1">
      <alignment horizontal="center" vertical="top" wrapText="1"/>
    </xf>
    <xf numFmtId="0" fontId="35" fillId="5" borderId="30" xfId="0" applyFont="1" applyFill="1" applyBorder="1" applyAlignment="1">
      <alignment vertical="center" wrapText="1"/>
    </xf>
    <xf numFmtId="1" fontId="20" fillId="5" borderId="30" xfId="0" applyNumberFormat="1" applyFont="1" applyFill="1" applyBorder="1" applyAlignment="1">
      <alignment horizontal="center" vertical="top" wrapText="1"/>
    </xf>
    <xf numFmtId="0" fontId="37" fillId="0" borderId="27" xfId="0" applyFont="1" applyBorder="1" applyAlignment="1">
      <alignment vertical="center" wrapText="1"/>
    </xf>
    <xf numFmtId="9" fontId="0" fillId="0" borderId="0" xfId="0" applyNumberFormat="1"/>
    <xf numFmtId="0" fontId="15" fillId="0" borderId="17" xfId="0" applyFont="1" applyBorder="1" applyAlignment="1">
      <alignment horizontal="centerContinuous" vertical="center" wrapText="1"/>
    </xf>
    <xf numFmtId="9" fontId="12" fillId="0" borderId="0" xfId="0" applyNumberFormat="1" applyFont="1" applyAlignment="1">
      <alignment vertical="center"/>
    </xf>
    <xf numFmtId="9" fontId="12" fillId="0" borderId="0" xfId="0" applyNumberFormat="1" applyFont="1"/>
    <xf numFmtId="0" fontId="11" fillId="0" borderId="0" xfId="0" applyFont="1" applyAlignment="1">
      <alignment horizontal="centerContinuous" vertical="center"/>
    </xf>
    <xf numFmtId="0" fontId="12" fillId="0" borderId="0" xfId="0" applyFont="1" applyAlignment="1">
      <alignment horizontal="center" vertical="center"/>
    </xf>
    <xf numFmtId="9" fontId="12" fillId="0" borderId="0" xfId="0" applyNumberFormat="1" applyFont="1" applyAlignment="1">
      <alignment horizontal="center" vertical="center"/>
    </xf>
    <xf numFmtId="0" fontId="11" fillId="0" borderId="0" xfId="0" applyFont="1" applyAlignment="1">
      <alignment horizontal="center" vertical="center"/>
    </xf>
    <xf numFmtId="9" fontId="11" fillId="0" borderId="0" xfId="0" applyNumberFormat="1" applyFont="1" applyAlignment="1">
      <alignment horizontal="center" vertical="center"/>
    </xf>
    <xf numFmtId="0" fontId="40" fillId="2" borderId="31" xfId="0" applyFont="1" applyFill="1" applyBorder="1" applyAlignment="1">
      <alignment horizontal="centerContinuous"/>
    </xf>
    <xf numFmtId="0" fontId="40" fillId="2" borderId="13" xfId="0" applyFont="1" applyFill="1" applyBorder="1" applyAlignment="1">
      <alignment horizontal="centerContinuous"/>
    </xf>
    <xf numFmtId="0" fontId="41" fillId="4" borderId="5" xfId="0" applyFont="1" applyFill="1" applyBorder="1" applyAlignment="1">
      <alignment horizontal="left"/>
    </xf>
    <xf numFmtId="0" fontId="41" fillId="4" borderId="6" xfId="0" applyFont="1" applyFill="1" applyBorder="1" applyAlignment="1">
      <alignment horizontal="center"/>
    </xf>
    <xf numFmtId="0" fontId="42" fillId="3" borderId="6" xfId="0" applyFont="1" applyFill="1" applyBorder="1" applyAlignment="1">
      <alignment horizontal="center" vertical="center"/>
    </xf>
    <xf numFmtId="0" fontId="43" fillId="3" borderId="5" xfId="3" applyFont="1" applyFill="1" applyBorder="1" applyAlignment="1">
      <alignment horizontal="left" indent="1"/>
    </xf>
    <xf numFmtId="0" fontId="42" fillId="3" borderId="6" xfId="0" applyFont="1" applyFill="1" applyBorder="1" applyAlignment="1">
      <alignment horizontal="center"/>
    </xf>
    <xf numFmtId="0" fontId="42" fillId="3" borderId="9" xfId="0" applyFont="1" applyFill="1" applyBorder="1" applyAlignment="1">
      <alignment horizontal="center"/>
    </xf>
    <xf numFmtId="0" fontId="29" fillId="0" borderId="0" xfId="0" applyFont="1"/>
    <xf numFmtId="0" fontId="36" fillId="12" borderId="27" xfId="0" applyFont="1" applyFill="1" applyBorder="1" applyAlignment="1">
      <alignment vertical="center"/>
    </xf>
    <xf numFmtId="0" fontId="8" fillId="0" borderId="0" xfId="0" applyFont="1"/>
    <xf numFmtId="9" fontId="8" fillId="0" borderId="0" xfId="0" applyNumberFormat="1" applyFont="1" applyAlignment="1">
      <alignment vertical="center"/>
    </xf>
    <xf numFmtId="0" fontId="10" fillId="0" borderId="0" xfId="0" applyFont="1"/>
    <xf numFmtId="0" fontId="45" fillId="0" borderId="0" xfId="0" applyFont="1" applyAlignment="1">
      <alignment horizontal="centerContinuous" vertical="center"/>
    </xf>
    <xf numFmtId="0" fontId="45" fillId="0" borderId="0" xfId="0" applyFont="1" applyAlignment="1">
      <alignment vertical="center"/>
    </xf>
    <xf numFmtId="0" fontId="45" fillId="0" borderId="19" xfId="0" applyFont="1" applyBorder="1" applyAlignment="1">
      <alignment horizontal="centerContinuous"/>
    </xf>
    <xf numFmtId="0" fontId="9" fillId="0" borderId="11" xfId="0" applyFont="1" applyBorder="1"/>
    <xf numFmtId="0" fontId="10" fillId="0" borderId="11" xfId="0" applyFont="1" applyBorder="1" applyAlignment="1">
      <alignment vertical="center"/>
    </xf>
    <xf numFmtId="0" fontId="10" fillId="0" borderId="11" xfId="0" applyFont="1" applyBorder="1" applyAlignment="1">
      <alignment horizontal="center" vertical="center"/>
    </xf>
    <xf numFmtId="9" fontId="10" fillId="0" borderId="11" xfId="0" applyNumberFormat="1" applyFont="1" applyBorder="1" applyAlignment="1">
      <alignment horizontal="center" vertical="center"/>
    </xf>
    <xf numFmtId="9" fontId="10" fillId="0" borderId="0" xfId="1" applyFont="1" applyAlignment="1">
      <alignment horizontal="center"/>
    </xf>
    <xf numFmtId="0" fontId="10" fillId="0" borderId="0" xfId="0" applyFont="1" applyAlignment="1">
      <alignment vertical="center"/>
    </xf>
    <xf numFmtId="0" fontId="9" fillId="0" borderId="11" xfId="0" applyFont="1" applyBorder="1" applyAlignment="1">
      <alignment vertical="center"/>
    </xf>
    <xf numFmtId="0" fontId="9" fillId="0" borderId="11" xfId="0" applyFont="1" applyBorder="1" applyAlignment="1">
      <alignment horizontal="center" vertical="center"/>
    </xf>
    <xf numFmtId="9" fontId="9" fillId="0" borderId="11" xfId="0" applyNumberFormat="1" applyFont="1" applyBorder="1" applyAlignment="1">
      <alignment horizontal="center" vertical="center"/>
    </xf>
    <xf numFmtId="0" fontId="46" fillId="0" borderId="0" xfId="0" applyFont="1" applyAlignment="1">
      <alignment vertical="center"/>
    </xf>
    <xf numFmtId="0" fontId="10" fillId="0" borderId="11" xfId="0" applyFont="1" applyBorder="1"/>
    <xf numFmtId="0" fontId="10" fillId="0" borderId="11" xfId="0" applyFont="1" applyBorder="1" applyAlignment="1">
      <alignment horizontal="center"/>
    </xf>
    <xf numFmtId="0" fontId="10" fillId="0" borderId="11" xfId="0" applyFont="1" applyBorder="1" applyAlignment="1">
      <alignment horizontal="centerContinuous"/>
    </xf>
    <xf numFmtId="0" fontId="44" fillId="0" borderId="0" xfId="0" applyFont="1" applyAlignment="1">
      <alignment vertical="center"/>
    </xf>
    <xf numFmtId="0" fontId="45" fillId="0" borderId="19" xfId="0" applyFont="1" applyBorder="1" applyAlignment="1">
      <alignment horizontal="left"/>
    </xf>
    <xf numFmtId="0" fontId="35" fillId="12" borderId="27" xfId="0" applyFont="1" applyFill="1" applyBorder="1" applyAlignment="1">
      <alignment horizontal="left" wrapText="1"/>
    </xf>
    <xf numFmtId="0" fontId="20" fillId="12" borderId="27" xfId="0" applyFont="1" applyFill="1" applyBorder="1" applyAlignment="1">
      <alignment horizontal="center" wrapText="1"/>
    </xf>
    <xf numFmtId="0" fontId="35" fillId="12" borderId="27" xfId="0" applyFont="1" applyFill="1" applyBorder="1" applyAlignment="1">
      <alignment horizontal="center" wrapText="1"/>
    </xf>
    <xf numFmtId="0" fontId="35" fillId="12" borderId="32" xfId="0" applyFont="1" applyFill="1" applyBorder="1" applyAlignment="1">
      <alignment horizontal="center" wrapText="1"/>
    </xf>
    <xf numFmtId="0" fontId="35" fillId="12" borderId="28" xfId="0" applyFont="1" applyFill="1" applyBorder="1" applyAlignment="1">
      <alignment horizontal="center" wrapText="1"/>
    </xf>
    <xf numFmtId="0" fontId="35" fillId="0" borderId="26" xfId="0" applyFont="1" applyBorder="1" applyAlignment="1">
      <alignment horizontal="left" vertical="top" wrapText="1"/>
    </xf>
    <xf numFmtId="0" fontId="35" fillId="12" borderId="34" xfId="0" applyFont="1" applyFill="1" applyBorder="1" applyAlignment="1">
      <alignment horizontal="left" wrapText="1"/>
    </xf>
    <xf numFmtId="0" fontId="20" fillId="12" borderId="34" xfId="0" applyFont="1" applyFill="1" applyBorder="1" applyAlignment="1">
      <alignment horizontal="center" vertical="center" wrapText="1"/>
    </xf>
    <xf numFmtId="0" fontId="20" fillId="12" borderId="34" xfId="0" applyFont="1" applyFill="1" applyBorder="1" applyAlignment="1">
      <alignment horizontal="center" wrapText="1"/>
    </xf>
    <xf numFmtId="0" fontId="35" fillId="12" borderId="34" xfId="0" applyFont="1" applyFill="1" applyBorder="1" applyAlignment="1">
      <alignment horizontal="center" wrapText="1"/>
    </xf>
    <xf numFmtId="0" fontId="35" fillId="12" borderId="35" xfId="0" applyFont="1" applyFill="1" applyBorder="1" applyAlignment="1">
      <alignment horizontal="center" wrapText="1"/>
    </xf>
    <xf numFmtId="0" fontId="35" fillId="12" borderId="36" xfId="0" applyFont="1" applyFill="1" applyBorder="1" applyAlignment="1">
      <alignment horizontal="center" wrapText="1"/>
    </xf>
    <xf numFmtId="165" fontId="37" fillId="0" borderId="27" xfId="1" applyNumberFormat="1" applyFont="1" applyFill="1" applyBorder="1" applyAlignment="1">
      <alignment horizontal="center" vertical="center" wrapText="1"/>
    </xf>
    <xf numFmtId="6" fontId="37" fillId="12" borderId="27" xfId="0" applyNumberFormat="1" applyFont="1" applyFill="1" applyBorder="1" applyAlignment="1">
      <alignment horizontal="center" vertical="center" wrapText="1"/>
    </xf>
    <xf numFmtId="164" fontId="37" fillId="12" borderId="27" xfId="0" applyNumberFormat="1" applyFont="1" applyFill="1" applyBorder="1" applyAlignment="1">
      <alignment horizontal="center" vertical="center" wrapText="1"/>
    </xf>
    <xf numFmtId="165" fontId="37" fillId="12" borderId="27" xfId="1" applyNumberFormat="1" applyFont="1" applyFill="1" applyBorder="1" applyAlignment="1">
      <alignment horizontal="center" vertical="center" wrapText="1"/>
    </xf>
    <xf numFmtId="6" fontId="37" fillId="12" borderId="29" xfId="0" applyNumberFormat="1" applyFont="1" applyFill="1" applyBorder="1" applyAlignment="1">
      <alignment horizontal="center" vertical="center" wrapText="1"/>
    </xf>
    <xf numFmtId="164" fontId="37" fillId="12" borderId="29" xfId="0" applyNumberFormat="1" applyFont="1" applyFill="1" applyBorder="1" applyAlignment="1">
      <alignment horizontal="center" vertical="center" wrapText="1"/>
    </xf>
    <xf numFmtId="165" fontId="37" fillId="12" borderId="29" xfId="1" applyNumberFormat="1" applyFont="1" applyFill="1" applyBorder="1" applyAlignment="1">
      <alignment horizontal="center" vertical="center" wrapText="1"/>
    </xf>
    <xf numFmtId="164" fontId="35" fillId="5" borderId="30" xfId="0" applyNumberFormat="1" applyFont="1" applyFill="1" applyBorder="1" applyAlignment="1">
      <alignment horizontal="center" vertical="center" wrapText="1"/>
    </xf>
    <xf numFmtId="165" fontId="35" fillId="5" borderId="30" xfId="1" applyNumberFormat="1" applyFont="1" applyFill="1" applyBorder="1" applyAlignment="1">
      <alignment horizontal="center" vertical="center" wrapText="1"/>
    </xf>
    <xf numFmtId="164" fontId="20" fillId="5" borderId="33" xfId="0" applyNumberFormat="1" applyFont="1" applyFill="1" applyBorder="1" applyAlignment="1">
      <alignment horizontal="center" vertical="center" wrapText="1"/>
    </xf>
    <xf numFmtId="164" fontId="20" fillId="5" borderId="30" xfId="0" applyNumberFormat="1" applyFont="1" applyFill="1" applyBorder="1" applyAlignment="1">
      <alignment horizontal="center" vertical="center" wrapText="1"/>
    </xf>
    <xf numFmtId="6" fontId="0" fillId="0" borderId="0" xfId="0" applyNumberFormat="1" applyAlignment="1">
      <alignment horizontal="center" vertical="center"/>
    </xf>
    <xf numFmtId="167" fontId="0" fillId="0" borderId="0" xfId="0" applyNumberFormat="1" applyAlignment="1">
      <alignment vertical="center"/>
    </xf>
    <xf numFmtId="0" fontId="35" fillId="12" borderId="34" xfId="0" applyFont="1" applyFill="1" applyBorder="1" applyAlignment="1">
      <alignment horizontal="center" vertical="center" wrapText="1"/>
    </xf>
    <xf numFmtId="0" fontId="35" fillId="12" borderId="35" xfId="0" applyFont="1" applyFill="1" applyBorder="1" applyAlignment="1">
      <alignment horizontal="center" vertical="center" wrapText="1"/>
    </xf>
    <xf numFmtId="0" fontId="35" fillId="12" borderId="36" xfId="0" applyFont="1" applyFill="1" applyBorder="1" applyAlignment="1">
      <alignment horizontal="center" vertical="center" wrapText="1"/>
    </xf>
    <xf numFmtId="165" fontId="36" fillId="0" borderId="27" xfId="1" applyNumberFormat="1" applyFont="1" applyFill="1" applyBorder="1" applyAlignment="1">
      <alignment horizontal="center" vertical="center" wrapText="1"/>
    </xf>
    <xf numFmtId="0" fontId="15" fillId="0" borderId="39" xfId="0" applyFont="1" applyBorder="1" applyAlignment="1">
      <alignment horizontal="center" vertical="center" wrapText="1"/>
    </xf>
    <xf numFmtId="0" fontId="23" fillId="0" borderId="38" xfId="0" applyFont="1" applyBorder="1" applyAlignment="1">
      <alignment horizontal="centerContinuous" vertical="center"/>
    </xf>
    <xf numFmtId="0" fontId="50" fillId="0" borderId="14" xfId="0" applyFont="1" applyBorder="1" applyAlignment="1">
      <alignment horizontal="center" vertical="center" wrapText="1"/>
    </xf>
    <xf numFmtId="0" fontId="52" fillId="0" borderId="0" xfId="0" applyFont="1"/>
    <xf numFmtId="0" fontId="53" fillId="0" borderId="0" xfId="0" applyFont="1" applyAlignment="1">
      <alignment vertical="center"/>
    </xf>
    <xf numFmtId="0" fontId="52" fillId="0" borderId="0" xfId="0" applyFont="1" applyAlignment="1">
      <alignment vertical="center"/>
    </xf>
    <xf numFmtId="9" fontId="52" fillId="0" borderId="0" xfId="0" applyNumberFormat="1" applyFont="1" applyAlignment="1">
      <alignment vertical="center"/>
    </xf>
    <xf numFmtId="0" fontId="52" fillId="0" borderId="0" xfId="0" applyFont="1" applyAlignment="1">
      <alignment horizontal="center"/>
    </xf>
    <xf numFmtId="0" fontId="54" fillId="0" borderId="0" xfId="0" applyFont="1" applyAlignment="1">
      <alignment vertical="center"/>
    </xf>
    <xf numFmtId="0" fontId="53" fillId="0" borderId="0" xfId="0" applyFont="1"/>
    <xf numFmtId="0" fontId="53" fillId="0" borderId="0" xfId="0" applyFont="1" applyAlignment="1">
      <alignment horizontal="center"/>
    </xf>
    <xf numFmtId="9" fontId="52" fillId="0" borderId="0" xfId="0" applyNumberFormat="1" applyFont="1" applyAlignment="1">
      <alignment horizontal="center"/>
    </xf>
    <xf numFmtId="9" fontId="53" fillId="0" borderId="0" xfId="0" applyNumberFormat="1" applyFont="1" applyAlignment="1">
      <alignment horizontal="center"/>
    </xf>
    <xf numFmtId="165" fontId="37" fillId="0" borderId="28" xfId="1" applyNumberFormat="1" applyFont="1" applyFill="1" applyBorder="1" applyAlignment="1">
      <alignment horizontal="center" vertical="center" wrapText="1"/>
    </xf>
    <xf numFmtId="165" fontId="37" fillId="12" borderId="28" xfId="1" applyNumberFormat="1" applyFont="1" applyFill="1" applyBorder="1" applyAlignment="1">
      <alignment horizontal="center" vertical="center" wrapText="1"/>
    </xf>
    <xf numFmtId="6" fontId="37" fillId="12" borderId="32" xfId="0" applyNumberFormat="1" applyFont="1" applyFill="1" applyBorder="1" applyAlignment="1">
      <alignment horizontal="center" vertical="center" wrapText="1"/>
    </xf>
    <xf numFmtId="165" fontId="37" fillId="12" borderId="40" xfId="1" applyNumberFormat="1" applyFont="1" applyFill="1" applyBorder="1" applyAlignment="1">
      <alignment horizontal="center" vertical="center" wrapText="1"/>
    </xf>
    <xf numFmtId="6" fontId="37" fillId="12" borderId="41" xfId="0" applyNumberFormat="1" applyFont="1" applyFill="1" applyBorder="1" applyAlignment="1">
      <alignment horizontal="center" vertical="center" wrapText="1"/>
    </xf>
    <xf numFmtId="165" fontId="35" fillId="5" borderId="42" xfId="1" applyNumberFormat="1" applyFont="1" applyFill="1" applyBorder="1" applyAlignment="1">
      <alignment horizontal="center" vertical="center" wrapText="1"/>
    </xf>
    <xf numFmtId="9" fontId="10" fillId="0" borderId="11" xfId="1" applyFont="1" applyFill="1" applyBorder="1" applyAlignment="1">
      <alignment horizontal="center" vertical="center"/>
    </xf>
    <xf numFmtId="0" fontId="57" fillId="0" borderId="0" xfId="0" applyFont="1" applyAlignment="1">
      <alignment horizontal="center" vertical="center"/>
    </xf>
    <xf numFmtId="0" fontId="58" fillId="0" borderId="0" xfId="0" applyFont="1" applyAlignment="1">
      <alignment horizontal="center" vertical="center"/>
    </xf>
    <xf numFmtId="0" fontId="59" fillId="0" borderId="0" xfId="0" applyFont="1" applyAlignment="1">
      <alignment horizontal="left" vertical="center"/>
    </xf>
    <xf numFmtId="0" fontId="55" fillId="0" borderId="0" xfId="0" applyFont="1"/>
    <xf numFmtId="6" fontId="0" fillId="0" borderId="0" xfId="0" applyNumberFormat="1" applyAlignment="1">
      <alignment horizontal="center"/>
    </xf>
    <xf numFmtId="164" fontId="0" fillId="0" borderId="0" xfId="0" applyNumberFormat="1" applyAlignment="1">
      <alignment horizontal="center"/>
    </xf>
    <xf numFmtId="0" fontId="35" fillId="16" borderId="43" xfId="0" applyFont="1" applyFill="1" applyBorder="1" applyAlignment="1">
      <alignment horizontal="left" wrapText="1"/>
    </xf>
    <xf numFmtId="0" fontId="20" fillId="16" borderId="44" xfId="0" applyFont="1" applyFill="1" applyBorder="1" applyAlignment="1">
      <alignment horizontal="center" wrapText="1"/>
    </xf>
    <xf numFmtId="0" fontId="35" fillId="16" borderId="44" xfId="0" applyFont="1" applyFill="1" applyBorder="1" applyAlignment="1">
      <alignment horizontal="center" wrapText="1"/>
    </xf>
    <xf numFmtId="0" fontId="35" fillId="16" borderId="45" xfId="0" applyFont="1" applyFill="1" applyBorder="1" applyAlignment="1">
      <alignment horizontal="center" wrapText="1"/>
    </xf>
    <xf numFmtId="0" fontId="36" fillId="0" borderId="43" xfId="0" applyFont="1" applyBorder="1" applyAlignment="1">
      <alignment vertical="center" wrapText="1"/>
    </xf>
    <xf numFmtId="1" fontId="36" fillId="0" borderId="44" xfId="0" applyNumberFormat="1" applyFont="1" applyBorder="1" applyAlignment="1">
      <alignment horizontal="center" vertical="top" wrapText="1"/>
    </xf>
    <xf numFmtId="9" fontId="37" fillId="0" borderId="44" xfId="1" applyFont="1" applyFill="1" applyBorder="1" applyAlignment="1">
      <alignment horizontal="center" vertical="center" wrapText="1"/>
    </xf>
    <xf numFmtId="9" fontId="37" fillId="0" borderId="45" xfId="1" applyFont="1" applyFill="1" applyBorder="1" applyAlignment="1">
      <alignment horizontal="center" vertical="center" wrapText="1"/>
    </xf>
    <xf numFmtId="0" fontId="36" fillId="16" borderId="43" xfId="0" applyFont="1" applyFill="1" applyBorder="1" applyAlignment="1">
      <alignment vertical="center" wrapText="1"/>
    </xf>
    <xf numFmtId="1" fontId="36" fillId="16" borderId="44" xfId="0" applyNumberFormat="1" applyFont="1" applyFill="1" applyBorder="1" applyAlignment="1">
      <alignment horizontal="center" vertical="top" wrapText="1"/>
    </xf>
    <xf numFmtId="6" fontId="37" fillId="16" borderId="44" xfId="0" applyNumberFormat="1" applyFont="1" applyFill="1" applyBorder="1" applyAlignment="1">
      <alignment horizontal="center" vertical="center" wrapText="1"/>
    </xf>
    <xf numFmtId="164" fontId="37" fillId="16" borderId="44" xfId="0" applyNumberFormat="1" applyFont="1" applyFill="1" applyBorder="1" applyAlignment="1">
      <alignment horizontal="center" vertical="center" wrapText="1"/>
    </xf>
    <xf numFmtId="9" fontId="37" fillId="16" borderId="44" xfId="1" applyFont="1" applyFill="1" applyBorder="1" applyAlignment="1">
      <alignment horizontal="center" vertical="center" wrapText="1"/>
    </xf>
    <xf numFmtId="9" fontId="37" fillId="16" borderId="45" xfId="1" applyFont="1" applyFill="1" applyBorder="1" applyAlignment="1">
      <alignment horizontal="center" vertical="center" wrapText="1"/>
    </xf>
    <xf numFmtId="0" fontId="36" fillId="16" borderId="43" xfId="0" applyFont="1" applyFill="1" applyBorder="1" applyAlignment="1">
      <alignment vertical="center"/>
    </xf>
    <xf numFmtId="0" fontId="35" fillId="11" borderId="43" xfId="0" applyFont="1" applyFill="1" applyBorder="1" applyAlignment="1">
      <alignment vertical="center" wrapText="1"/>
    </xf>
    <xf numFmtId="1" fontId="20" fillId="11" borderId="44" xfId="0" applyNumberFormat="1" applyFont="1" applyFill="1" applyBorder="1" applyAlignment="1">
      <alignment horizontal="center" vertical="top" wrapText="1"/>
    </xf>
    <xf numFmtId="164" fontId="35" fillId="11" borderId="44" xfId="0" applyNumberFormat="1" applyFont="1" applyFill="1" applyBorder="1" applyAlignment="1">
      <alignment horizontal="center" vertical="center" wrapText="1"/>
    </xf>
    <xf numFmtId="9" fontId="35" fillId="11" borderId="44" xfId="1" applyFont="1" applyFill="1" applyBorder="1" applyAlignment="1">
      <alignment horizontal="center" vertical="center" wrapText="1"/>
    </xf>
    <xf numFmtId="164" fontId="20" fillId="11" borderId="44" xfId="0" applyNumberFormat="1" applyFont="1" applyFill="1" applyBorder="1" applyAlignment="1">
      <alignment horizontal="center" vertical="center" wrapText="1"/>
    </xf>
    <xf numFmtId="165" fontId="35" fillId="11" borderId="45" xfId="1" applyNumberFormat="1" applyFont="1" applyFill="1" applyBorder="1" applyAlignment="1">
      <alignment horizontal="center" vertical="center" wrapText="1"/>
    </xf>
    <xf numFmtId="165" fontId="36" fillId="0" borderId="44" xfId="1" applyNumberFormat="1" applyFont="1" applyFill="1" applyBorder="1" applyAlignment="1">
      <alignment horizontal="center" vertical="center" wrapText="1"/>
    </xf>
    <xf numFmtId="165" fontId="36" fillId="0" borderId="45" xfId="1" applyNumberFormat="1" applyFont="1" applyFill="1" applyBorder="1" applyAlignment="1">
      <alignment horizontal="center" vertical="center" wrapText="1"/>
    </xf>
    <xf numFmtId="0" fontId="35" fillId="17" borderId="43" xfId="0" applyFont="1" applyFill="1" applyBorder="1" applyAlignment="1">
      <alignment vertical="center" wrapText="1"/>
    </xf>
    <xf numFmtId="1" fontId="20" fillId="17" borderId="44" xfId="0" applyNumberFormat="1" applyFont="1" applyFill="1" applyBorder="1" applyAlignment="1">
      <alignment horizontal="center" vertical="top" wrapText="1"/>
    </xf>
    <xf numFmtId="164" fontId="35" fillId="17" borderId="44" xfId="0" applyNumberFormat="1" applyFont="1" applyFill="1" applyBorder="1" applyAlignment="1">
      <alignment horizontal="center" vertical="center" wrapText="1"/>
    </xf>
    <xf numFmtId="165" fontId="35" fillId="17" borderId="44" xfId="1" applyNumberFormat="1" applyFont="1" applyFill="1" applyBorder="1" applyAlignment="1">
      <alignment horizontal="center" vertical="center" wrapText="1"/>
    </xf>
    <xf numFmtId="164" fontId="20" fillId="17" borderId="44" xfId="0" applyNumberFormat="1" applyFont="1" applyFill="1" applyBorder="1" applyAlignment="1">
      <alignment horizontal="center" vertical="center" wrapText="1"/>
    </xf>
    <xf numFmtId="165" fontId="35" fillId="17" borderId="45" xfId="1" applyNumberFormat="1" applyFont="1" applyFill="1" applyBorder="1" applyAlignment="1">
      <alignment horizontal="center" vertical="center" wrapText="1"/>
    </xf>
    <xf numFmtId="164" fontId="0" fillId="0" borderId="46" xfId="0" applyNumberFormat="1" applyBorder="1" applyAlignment="1">
      <alignment horizontal="center"/>
    </xf>
    <xf numFmtId="164" fontId="0" fillId="0" borderId="0" xfId="0" applyNumberFormat="1" applyAlignment="1">
      <alignment horizontal="center" vertical="center"/>
    </xf>
    <xf numFmtId="164" fontId="0" fillId="0" borderId="8" xfId="0" applyNumberFormat="1" applyBorder="1" applyAlignment="1">
      <alignment horizontal="center"/>
    </xf>
    <xf numFmtId="9" fontId="0" fillId="0" borderId="0" xfId="1" applyFont="1" applyAlignment="1">
      <alignment horizontal="center"/>
    </xf>
    <xf numFmtId="9" fontId="0" fillId="0" borderId="0" xfId="1" applyFont="1" applyAlignment="1">
      <alignment horizontal="center" vertical="center"/>
    </xf>
    <xf numFmtId="9" fontId="0" fillId="0" borderId="8" xfId="1" applyFont="1" applyBorder="1" applyAlignment="1">
      <alignment horizontal="center" vertical="center"/>
    </xf>
    <xf numFmtId="164" fontId="0" fillId="0" borderId="8" xfId="0" applyNumberFormat="1" applyBorder="1" applyAlignment="1">
      <alignment horizontal="center" vertical="center"/>
    </xf>
    <xf numFmtId="9" fontId="0" fillId="0" borderId="8" xfId="1" applyFont="1" applyBorder="1" applyAlignment="1">
      <alignment horizontal="center"/>
    </xf>
    <xf numFmtId="0" fontId="35" fillId="16" borderId="48" xfId="0" applyFont="1" applyFill="1" applyBorder="1" applyAlignment="1">
      <alignment horizontal="center" wrapText="1"/>
    </xf>
    <xf numFmtId="6" fontId="37" fillId="16" borderId="48" xfId="0" applyNumberFormat="1" applyFont="1" applyFill="1" applyBorder="1" applyAlignment="1">
      <alignment horizontal="center" vertical="center" wrapText="1"/>
    </xf>
    <xf numFmtId="164" fontId="20" fillId="11" borderId="48" xfId="0" applyNumberFormat="1" applyFont="1" applyFill="1" applyBorder="1" applyAlignment="1">
      <alignment horizontal="center" vertical="center" wrapText="1"/>
    </xf>
    <xf numFmtId="0" fontId="35" fillId="16" borderId="47" xfId="0" applyFont="1" applyFill="1" applyBorder="1" applyAlignment="1">
      <alignment horizontal="center" wrapText="1"/>
    </xf>
    <xf numFmtId="164" fontId="20" fillId="17" borderId="47" xfId="0" applyNumberFormat="1" applyFont="1" applyFill="1" applyBorder="1" applyAlignment="1">
      <alignment horizontal="center" vertical="center" wrapText="1"/>
    </xf>
    <xf numFmtId="164" fontId="2" fillId="15" borderId="0" xfId="0" applyNumberFormat="1" applyFont="1" applyFill="1" applyAlignment="1">
      <alignment horizontal="center"/>
    </xf>
    <xf numFmtId="164" fontId="2" fillId="15" borderId="0" xfId="0" applyNumberFormat="1" applyFont="1" applyFill="1" applyAlignment="1">
      <alignment horizontal="center" vertical="center"/>
    </xf>
    <xf numFmtId="164" fontId="2" fillId="15" borderId="46" xfId="0" applyNumberFormat="1" applyFont="1" applyFill="1" applyBorder="1" applyAlignment="1">
      <alignment horizontal="center"/>
    </xf>
    <xf numFmtId="0" fontId="35" fillId="15" borderId="49" xfId="0" applyFont="1" applyFill="1" applyBorder="1" applyAlignment="1">
      <alignment horizontal="left"/>
    </xf>
    <xf numFmtId="6" fontId="0" fillId="0" borderId="46" xfId="0" applyNumberFormat="1" applyBorder="1" applyAlignment="1">
      <alignment horizontal="center"/>
    </xf>
    <xf numFmtId="6" fontId="37" fillId="12" borderId="46" xfId="0" applyNumberFormat="1" applyFont="1" applyFill="1" applyBorder="1" applyAlignment="1">
      <alignment horizontal="center" vertical="center" wrapText="1"/>
    </xf>
    <xf numFmtId="6" fontId="37" fillId="16" borderId="46" xfId="0" applyNumberFormat="1" applyFont="1" applyFill="1" applyBorder="1" applyAlignment="1">
      <alignment horizontal="center" vertical="center" wrapText="1"/>
    </xf>
    <xf numFmtId="0" fontId="35" fillId="15" borderId="46" xfId="0" applyFont="1" applyFill="1" applyBorder="1" applyAlignment="1">
      <alignment vertical="center" wrapText="1"/>
    </xf>
    <xf numFmtId="6" fontId="2" fillId="15" borderId="46" xfId="0" applyNumberFormat="1" applyFont="1" applyFill="1" applyBorder="1" applyAlignment="1">
      <alignment horizontal="center"/>
    </xf>
    <xf numFmtId="0" fontId="35" fillId="15" borderId="46" xfId="0" applyFont="1" applyFill="1" applyBorder="1" applyAlignment="1">
      <alignment vertical="center"/>
    </xf>
    <xf numFmtId="164" fontId="2" fillId="15" borderId="46" xfId="0" applyNumberFormat="1" applyFont="1" applyFill="1" applyBorder="1" applyAlignment="1">
      <alignment horizontal="center" vertical="center"/>
    </xf>
    <xf numFmtId="0" fontId="61" fillId="0" borderId="0" xfId="0" applyFont="1"/>
    <xf numFmtId="9" fontId="0" fillId="0" borderId="46" xfId="1" applyFont="1" applyBorder="1" applyAlignment="1">
      <alignment horizontal="center"/>
    </xf>
    <xf numFmtId="165" fontId="2" fillId="15" borderId="46" xfId="1" applyNumberFormat="1" applyFont="1" applyFill="1" applyBorder="1" applyAlignment="1">
      <alignment horizontal="center"/>
    </xf>
    <xf numFmtId="165" fontId="2" fillId="15" borderId="0" xfId="1" applyNumberFormat="1" applyFont="1" applyFill="1" applyAlignment="1">
      <alignment horizontal="center" vertical="center"/>
    </xf>
    <xf numFmtId="165" fontId="2" fillId="15" borderId="0" xfId="1" applyNumberFormat="1" applyFont="1" applyFill="1" applyAlignment="1">
      <alignment horizontal="center"/>
    </xf>
    <xf numFmtId="0" fontId="35" fillId="15" borderId="50" xfId="0" applyFont="1" applyFill="1" applyBorder="1" applyAlignment="1">
      <alignment horizontal="center" wrapText="1"/>
    </xf>
    <xf numFmtId="9" fontId="0" fillId="0" borderId="51" xfId="1" applyFont="1" applyBorder="1" applyAlignment="1">
      <alignment horizontal="center"/>
    </xf>
    <xf numFmtId="165" fontId="2" fillId="15" borderId="51" xfId="1" applyNumberFormat="1" applyFont="1" applyFill="1" applyBorder="1" applyAlignment="1">
      <alignment horizontal="center"/>
    </xf>
    <xf numFmtId="0" fontId="16" fillId="0" borderId="52" xfId="0" applyFont="1" applyBorder="1" applyAlignment="1">
      <alignment vertical="center" wrapText="1"/>
    </xf>
    <xf numFmtId="0" fontId="16" fillId="0" borderId="53" xfId="0" applyFont="1" applyBorder="1" applyAlignment="1">
      <alignment vertical="center" wrapText="1"/>
    </xf>
    <xf numFmtId="0" fontId="16" fillId="0" borderId="54" xfId="0" applyFont="1" applyBorder="1" applyAlignment="1">
      <alignment vertical="center" wrapText="1"/>
    </xf>
    <xf numFmtId="9" fontId="16" fillId="0" borderId="52" xfId="0" applyNumberFormat="1" applyFont="1" applyBorder="1" applyAlignment="1">
      <alignment horizontal="center" vertical="center" wrapText="1"/>
    </xf>
    <xf numFmtId="0" fontId="16" fillId="12" borderId="52" xfId="0" applyFont="1" applyFill="1" applyBorder="1" applyAlignment="1">
      <alignment vertical="center" wrapText="1"/>
    </xf>
    <xf numFmtId="9" fontId="16" fillId="12" borderId="52" xfId="0" applyNumberFormat="1" applyFont="1" applyFill="1" applyBorder="1" applyAlignment="1">
      <alignment horizontal="center" vertical="center" wrapText="1"/>
    </xf>
    <xf numFmtId="0" fontId="15" fillId="0" borderId="17" xfId="0" applyFont="1" applyBorder="1" applyAlignment="1">
      <alignment vertical="center" wrapText="1"/>
    </xf>
    <xf numFmtId="0" fontId="18" fillId="12" borderId="53" xfId="0" applyFont="1" applyFill="1" applyBorder="1" applyAlignment="1">
      <alignment vertical="center" wrapText="1"/>
    </xf>
    <xf numFmtId="9" fontId="18" fillId="12" borderId="53" xfId="0" applyNumberFormat="1" applyFont="1" applyFill="1" applyBorder="1" applyAlignment="1">
      <alignment horizontal="center" vertical="center" wrapText="1"/>
    </xf>
    <xf numFmtId="0" fontId="49" fillId="0" borderId="0" xfId="0" applyFont="1"/>
    <xf numFmtId="0" fontId="16" fillId="0" borderId="52" xfId="0" applyFont="1" applyBorder="1" applyAlignment="1">
      <alignment horizontal="center" vertical="center" wrapText="1"/>
    </xf>
    <xf numFmtId="0" fontId="16" fillId="0" borderId="53" xfId="0" applyFont="1" applyBorder="1" applyAlignment="1">
      <alignment horizontal="center" vertical="center" wrapText="1"/>
    </xf>
    <xf numFmtId="9" fontId="16" fillId="0" borderId="53" xfId="0" applyNumberFormat="1" applyFont="1" applyBorder="1" applyAlignment="1">
      <alignment horizontal="center" vertical="center" wrapText="1"/>
    </xf>
    <xf numFmtId="0" fontId="16" fillId="0" borderId="55" xfId="0" applyFont="1" applyBorder="1" applyAlignment="1">
      <alignment horizontal="center" vertical="center" wrapText="1"/>
    </xf>
    <xf numFmtId="9" fontId="16" fillId="0" borderId="55" xfId="0" applyNumberFormat="1" applyFont="1" applyBorder="1" applyAlignment="1">
      <alignment horizontal="center" vertical="center" wrapText="1"/>
    </xf>
    <xf numFmtId="9" fontId="16" fillId="0" borderId="52" xfId="1" applyFont="1" applyFill="1" applyBorder="1" applyAlignment="1">
      <alignment horizontal="center" vertical="center" wrapText="1"/>
    </xf>
    <xf numFmtId="0" fontId="16" fillId="0" borderId="54" xfId="0" applyFont="1" applyBorder="1" applyAlignment="1">
      <alignment horizontal="center" vertical="center" wrapText="1"/>
    </xf>
    <xf numFmtId="9" fontId="16" fillId="0" borderId="54" xfId="0" applyNumberFormat="1" applyFont="1" applyBorder="1" applyAlignment="1">
      <alignment horizontal="center" vertical="center" wrapText="1"/>
    </xf>
    <xf numFmtId="0" fontId="16" fillId="0" borderId="55" xfId="0" applyFont="1" applyBorder="1" applyAlignment="1">
      <alignment vertical="center" wrapText="1"/>
    </xf>
    <xf numFmtId="9" fontId="16" fillId="0" borderId="57" xfId="0" applyNumberFormat="1" applyFont="1" applyBorder="1" applyAlignment="1">
      <alignment horizontal="center" vertical="center" wrapText="1"/>
    </xf>
    <xf numFmtId="9" fontId="16" fillId="0" borderId="60" xfId="0" applyNumberFormat="1" applyFont="1" applyBorder="1" applyAlignment="1">
      <alignment horizontal="center" vertical="center" wrapText="1"/>
    </xf>
    <xf numFmtId="0" fontId="15" fillId="0" borderId="59" xfId="0" applyFont="1" applyBorder="1" applyAlignment="1">
      <alignment horizontal="center" vertical="center" wrapText="1"/>
    </xf>
    <xf numFmtId="9" fontId="16" fillId="0" borderId="56" xfId="0" applyNumberFormat="1" applyFont="1" applyBorder="1" applyAlignment="1">
      <alignment horizontal="center" vertical="center" wrapText="1"/>
    </xf>
    <xf numFmtId="9" fontId="16" fillId="0" borderId="58" xfId="0" applyNumberFormat="1" applyFont="1" applyBorder="1" applyAlignment="1">
      <alignment horizontal="center" vertical="center" wrapText="1"/>
    </xf>
    <xf numFmtId="0" fontId="16" fillId="0" borderId="55" xfId="0" quotePrefix="1" applyFont="1" applyBorder="1" applyAlignment="1">
      <alignment horizontal="center" vertical="center" wrapText="1"/>
    </xf>
    <xf numFmtId="0" fontId="18" fillId="0" borderId="55" xfId="0" applyFont="1" applyBorder="1" applyAlignment="1">
      <alignment horizontal="center" vertical="center" wrapText="1"/>
    </xf>
    <xf numFmtId="0" fontId="18" fillId="0" borderId="52" xfId="0" applyFont="1" applyBorder="1" applyAlignment="1">
      <alignment horizontal="center" vertical="center" wrapText="1"/>
    </xf>
    <xf numFmtId="0" fontId="18" fillId="12" borderId="53" xfId="0" applyFont="1" applyFill="1" applyBorder="1" applyAlignment="1">
      <alignment horizontal="center" vertical="center" wrapText="1"/>
    </xf>
    <xf numFmtId="9" fontId="16" fillId="0" borderId="55" xfId="1" applyFont="1" applyBorder="1" applyAlignment="1">
      <alignment horizontal="center" vertical="center" wrapText="1"/>
    </xf>
    <xf numFmtId="9" fontId="18" fillId="12" borderId="53" xfId="1" applyFont="1" applyFill="1" applyBorder="1" applyAlignment="1">
      <alignment horizontal="center" vertical="center" wrapText="1"/>
    </xf>
    <xf numFmtId="0" fontId="15" fillId="0" borderId="0" xfId="0" applyFont="1" applyAlignment="1">
      <alignment horizontal="centerContinuous" vertical="center" wrapText="1"/>
    </xf>
    <xf numFmtId="0" fontId="15" fillId="0" borderId="20" xfId="0" applyFont="1" applyBorder="1" applyAlignment="1">
      <alignment vertical="center" wrapText="1"/>
    </xf>
    <xf numFmtId="0" fontId="15" fillId="0" borderId="20" xfId="0" applyFont="1" applyBorder="1" applyAlignment="1">
      <alignment horizontal="center" vertical="center" wrapText="1"/>
    </xf>
    <xf numFmtId="0" fontId="16" fillId="12" borderId="52" xfId="0" applyFont="1" applyFill="1" applyBorder="1" applyAlignment="1">
      <alignment horizontal="center" vertical="center" wrapText="1"/>
    </xf>
    <xf numFmtId="0" fontId="15" fillId="0" borderId="24" xfId="0" applyFont="1" applyBorder="1" applyAlignment="1">
      <alignment wrapText="1"/>
    </xf>
    <xf numFmtId="0" fontId="15" fillId="0" borderId="24" xfId="0" applyFont="1" applyBorder="1" applyAlignment="1">
      <alignment horizontal="center" vertical="center" wrapText="1"/>
    </xf>
    <xf numFmtId="0" fontId="15" fillId="0" borderId="24" xfId="0" applyFont="1" applyBorder="1" applyAlignment="1">
      <alignment vertical="center" wrapText="1"/>
    </xf>
    <xf numFmtId="0" fontId="49" fillId="0" borderId="0" xfId="0" applyFont="1" applyAlignment="1">
      <alignment horizontal="center" vertical="center"/>
    </xf>
    <xf numFmtId="9" fontId="49" fillId="0" borderId="0" xfId="0" applyNumberFormat="1" applyFont="1" applyAlignment="1">
      <alignment vertical="center"/>
    </xf>
    <xf numFmtId="0" fontId="48" fillId="0" borderId="0" xfId="0" applyFont="1" applyAlignment="1">
      <alignment horizontal="center" vertical="center"/>
    </xf>
    <xf numFmtId="0" fontId="49" fillId="0" borderId="0" xfId="0" applyFont="1" applyAlignment="1">
      <alignment vertical="center"/>
    </xf>
    <xf numFmtId="0" fontId="0" fillId="0" borderId="0" xfId="0" applyAlignment="1">
      <alignment horizontal="center" wrapText="1"/>
    </xf>
    <xf numFmtId="0" fontId="0" fillId="0" borderId="0" xfId="0" applyAlignment="1">
      <alignment horizontal="center" vertical="center" wrapText="1"/>
    </xf>
    <xf numFmtId="0" fontId="16" fillId="0" borderId="64" xfId="0" applyFont="1" applyBorder="1" applyAlignment="1">
      <alignment vertical="center" wrapText="1"/>
    </xf>
    <xf numFmtId="9" fontId="16" fillId="0" borderId="65" xfId="0" applyNumberFormat="1" applyFont="1" applyBorder="1" applyAlignment="1">
      <alignment horizontal="center" vertical="center" wrapText="1"/>
    </xf>
    <xf numFmtId="0" fontId="16" fillId="0" borderId="66" xfId="0" applyFont="1" applyBorder="1" applyAlignment="1">
      <alignment vertical="center" wrapText="1"/>
    </xf>
    <xf numFmtId="9" fontId="16" fillId="0" borderId="67" xfId="0" applyNumberFormat="1" applyFont="1" applyBorder="1" applyAlignment="1">
      <alignment horizontal="center" vertical="center" wrapText="1"/>
    </xf>
    <xf numFmtId="0" fontId="15" fillId="12" borderId="61" xfId="0" applyFont="1" applyFill="1" applyBorder="1" applyAlignment="1">
      <alignment horizontal="left" wrapText="1"/>
    </xf>
    <xf numFmtId="0" fontId="15" fillId="12" borderId="62" xfId="0" applyFont="1" applyFill="1" applyBorder="1" applyAlignment="1">
      <alignment horizontal="left" wrapText="1"/>
    </xf>
    <xf numFmtId="0" fontId="15" fillId="12" borderId="63" xfId="0" applyFont="1" applyFill="1" applyBorder="1" applyAlignment="1">
      <alignment horizontal="left" wrapText="1"/>
    </xf>
    <xf numFmtId="0" fontId="35" fillId="12" borderId="0" xfId="0" applyFont="1" applyFill="1" applyAlignment="1">
      <alignment horizontal="center" wrapText="1"/>
    </xf>
    <xf numFmtId="0" fontId="35" fillId="16" borderId="0" xfId="0" applyFont="1" applyFill="1" applyAlignment="1">
      <alignment horizontal="center" wrapText="1"/>
    </xf>
    <xf numFmtId="0" fontId="35" fillId="15" borderId="0" xfId="0" applyFont="1" applyFill="1" applyAlignment="1">
      <alignment horizontal="center" wrapText="1"/>
    </xf>
    <xf numFmtId="6" fontId="37" fillId="0" borderId="27" xfId="0" applyNumberFormat="1" applyFont="1" applyBorder="1" applyAlignment="1">
      <alignment horizontal="center" vertical="center" wrapText="1"/>
    </xf>
    <xf numFmtId="164" fontId="37" fillId="0" borderId="27" xfId="0" applyNumberFormat="1" applyFont="1" applyBorder="1" applyAlignment="1">
      <alignment horizontal="center" vertical="center" wrapText="1"/>
    </xf>
    <xf numFmtId="164" fontId="37" fillId="0" borderId="32" xfId="0" applyNumberFormat="1" applyFont="1" applyBorder="1" applyAlignment="1">
      <alignment horizontal="center" vertical="center" wrapText="1"/>
    </xf>
    <xf numFmtId="164" fontId="37" fillId="0" borderId="44" xfId="0" applyNumberFormat="1" applyFont="1" applyBorder="1" applyAlignment="1">
      <alignment horizontal="center" vertical="center" wrapText="1"/>
    </xf>
    <xf numFmtId="164" fontId="37" fillId="0" borderId="48" xfId="0" applyNumberFormat="1" applyFont="1" applyBorder="1" applyAlignment="1">
      <alignment horizontal="center" vertical="center" wrapText="1"/>
    </xf>
    <xf numFmtId="0" fontId="36" fillId="0" borderId="46" xfId="0" applyFont="1" applyBorder="1" applyAlignment="1">
      <alignment vertical="center"/>
    </xf>
    <xf numFmtId="6" fontId="37" fillId="0" borderId="46" xfId="0" applyNumberFormat="1" applyFont="1" applyBorder="1" applyAlignment="1">
      <alignment horizontal="center" vertical="center" wrapText="1"/>
    </xf>
    <xf numFmtId="164" fontId="37" fillId="0" borderId="46" xfId="0" applyNumberFormat="1" applyFont="1" applyBorder="1" applyAlignment="1">
      <alignment horizontal="center" vertical="center" wrapText="1"/>
    </xf>
    <xf numFmtId="6" fontId="37" fillId="0" borderId="32" xfId="0" applyNumberFormat="1" applyFont="1" applyBorder="1" applyAlignment="1">
      <alignment horizontal="center" vertical="center" wrapText="1"/>
    </xf>
    <xf numFmtId="6" fontId="37" fillId="0" borderId="44" xfId="0" applyNumberFormat="1" applyFont="1" applyBorder="1" applyAlignment="1">
      <alignment horizontal="center" vertical="center" wrapText="1"/>
    </xf>
    <xf numFmtId="6" fontId="37" fillId="0" borderId="48" xfId="0" applyNumberFormat="1" applyFont="1" applyBorder="1" applyAlignment="1">
      <alignment horizontal="center" vertical="center" wrapText="1"/>
    </xf>
    <xf numFmtId="0" fontId="36" fillId="0" borderId="27" xfId="0" applyFont="1" applyBorder="1" applyAlignment="1">
      <alignment horizontal="center" vertical="top" wrapText="1"/>
    </xf>
    <xf numFmtId="6" fontId="36" fillId="0" borderId="27" xfId="0" applyNumberFormat="1" applyFont="1" applyBorder="1" applyAlignment="1">
      <alignment horizontal="center" vertical="center" wrapText="1"/>
    </xf>
    <xf numFmtId="164" fontId="36" fillId="0" borderId="27" xfId="0" applyNumberFormat="1" applyFont="1" applyBorder="1" applyAlignment="1">
      <alignment horizontal="center" vertical="center" wrapText="1"/>
    </xf>
    <xf numFmtId="0" fontId="36" fillId="0" borderId="44" xfId="0" applyFont="1" applyBorder="1" applyAlignment="1">
      <alignment horizontal="center" vertical="top" wrapText="1"/>
    </xf>
    <xf numFmtId="6" fontId="36" fillId="0" borderId="44" xfId="0" applyNumberFormat="1" applyFont="1" applyBorder="1" applyAlignment="1">
      <alignment horizontal="center" vertical="center" wrapText="1"/>
    </xf>
    <xf numFmtId="164" fontId="36" fillId="0" borderId="44" xfId="0" applyNumberFormat="1" applyFont="1" applyBorder="1" applyAlignment="1">
      <alignment horizontal="center" vertical="center" wrapText="1"/>
    </xf>
    <xf numFmtId="164" fontId="37" fillId="0" borderId="47" xfId="0" applyNumberFormat="1" applyFont="1" applyBorder="1" applyAlignment="1">
      <alignment horizontal="center" vertical="center" wrapText="1"/>
    </xf>
    <xf numFmtId="0" fontId="36" fillId="0" borderId="46" xfId="0" applyFont="1" applyBorder="1" applyAlignment="1">
      <alignment vertical="center" wrapText="1"/>
    </xf>
    <xf numFmtId="0" fontId="35" fillId="0" borderId="0" xfId="0" applyFont="1" applyAlignment="1">
      <alignment horizontal="left" vertical="top" wrapText="1"/>
    </xf>
    <xf numFmtId="0" fontId="37" fillId="0" borderId="43" xfId="0" applyFont="1" applyBorder="1" applyAlignment="1">
      <alignment vertical="center" wrapText="1"/>
    </xf>
    <xf numFmtId="0" fontId="37" fillId="0" borderId="46" xfId="0" applyFont="1" applyBorder="1" applyAlignment="1">
      <alignment vertical="center" wrapText="1"/>
    </xf>
    <xf numFmtId="0" fontId="35" fillId="0" borderId="0" xfId="0" applyFont="1" applyAlignment="1">
      <alignment horizontal="center" vertical="center" wrapText="1"/>
    </xf>
    <xf numFmtId="0" fontId="35" fillId="0" borderId="0" xfId="0" applyFont="1" applyAlignment="1">
      <alignment horizontal="center" vertical="top" wrapText="1"/>
    </xf>
    <xf numFmtId="0" fontId="20" fillId="13" borderId="0" xfId="0" applyFont="1" applyFill="1" applyAlignment="1">
      <alignment horizontal="center" vertical="center" wrapText="1"/>
    </xf>
    <xf numFmtId="0" fontId="47" fillId="0" borderId="0" xfId="0" applyFont="1" applyAlignment="1">
      <alignment vertical="center" wrapText="1"/>
    </xf>
    <xf numFmtId="10" fontId="47" fillId="0" borderId="0" xfId="0" applyNumberFormat="1" applyFont="1" applyAlignment="1">
      <alignment horizontal="center" vertical="center" wrapText="1"/>
    </xf>
    <xf numFmtId="0" fontId="47" fillId="0" borderId="0" xfId="0" applyFont="1" applyAlignment="1">
      <alignment horizontal="center" vertical="center" wrapText="1"/>
    </xf>
    <xf numFmtId="0" fontId="35" fillId="0" borderId="26" xfId="0" applyFont="1" applyBorder="1" applyAlignment="1">
      <alignment horizontal="centerContinuous" vertical="top" wrapText="1"/>
    </xf>
    <xf numFmtId="0" fontId="35" fillId="0" borderId="26" xfId="0" applyFont="1" applyBorder="1" applyAlignment="1">
      <alignment horizontal="centerContinuous" vertical="center" wrapText="1"/>
    </xf>
    <xf numFmtId="0" fontId="35" fillId="0" borderId="25" xfId="0" applyFont="1" applyBorder="1" applyAlignment="1">
      <alignment horizontal="centerContinuous" vertical="center" wrapText="1"/>
    </xf>
    <xf numFmtId="0" fontId="35" fillId="0" borderId="0" xfId="0" applyFont="1" applyAlignment="1">
      <alignment horizontal="centerContinuous" vertical="center" wrapText="1"/>
    </xf>
    <xf numFmtId="0" fontId="0" fillId="0" borderId="0" xfId="0" applyAlignment="1">
      <alignment horizontal="centerContinuous" wrapText="1"/>
    </xf>
    <xf numFmtId="0" fontId="0" fillId="0" borderId="0" xfId="0" applyAlignment="1">
      <alignment horizontal="centerContinuous" vertical="center" wrapText="1"/>
    </xf>
    <xf numFmtId="0" fontId="15" fillId="12" borderId="0" xfId="0" applyFont="1" applyFill="1" applyAlignment="1">
      <alignment horizontal="center" vertical="center" wrapText="1"/>
    </xf>
    <xf numFmtId="0" fontId="17" fillId="0" borderId="17" xfId="0" applyFont="1" applyBorder="1" applyAlignment="1">
      <alignment horizontal="center" vertical="center" wrapText="1"/>
    </xf>
    <xf numFmtId="0" fontId="14" fillId="0" borderId="0" xfId="0" applyFont="1" applyAlignment="1">
      <alignment horizontal="center" vertical="center"/>
    </xf>
    <xf numFmtId="0" fontId="15" fillId="0" borderId="0" xfId="0" applyFont="1" applyAlignment="1">
      <alignment horizontal="left" vertical="center" wrapText="1"/>
    </xf>
    <xf numFmtId="0" fontId="15" fillId="12" borderId="10" xfId="0" applyFont="1" applyFill="1" applyBorder="1" applyAlignment="1">
      <alignment horizontal="center" vertical="center" wrapText="1"/>
    </xf>
    <xf numFmtId="0" fontId="0" fillId="3" borderId="0" xfId="0" applyFill="1" applyAlignment="1">
      <alignment wrapText="1"/>
    </xf>
    <xf numFmtId="0" fontId="11" fillId="14" borderId="2" xfId="0" applyFont="1" applyFill="1" applyBorder="1" applyAlignment="1">
      <alignment horizontal="centerContinuous" vertical="center"/>
    </xf>
    <xf numFmtId="0" fontId="11" fillId="14" borderId="3" xfId="0" applyFont="1" applyFill="1" applyBorder="1" applyAlignment="1">
      <alignment horizontal="centerContinuous" vertical="center"/>
    </xf>
    <xf numFmtId="0" fontId="11" fillId="14" borderId="4" xfId="0" applyFont="1" applyFill="1" applyBorder="1" applyAlignment="1">
      <alignment horizontal="centerContinuous" vertical="center"/>
    </xf>
    <xf numFmtId="0" fontId="9" fillId="7" borderId="5" xfId="0" applyFont="1" applyFill="1" applyBorder="1"/>
    <xf numFmtId="0" fontId="9" fillId="7" borderId="0" xfId="0" applyFont="1" applyFill="1" applyAlignment="1">
      <alignment horizontal="center" wrapText="1"/>
    </xf>
    <xf numFmtId="0" fontId="9" fillId="7" borderId="6" xfId="0" applyFont="1" applyFill="1" applyBorder="1" applyAlignment="1">
      <alignment horizontal="center" wrapText="1"/>
    </xf>
    <xf numFmtId="0" fontId="9" fillId="8" borderId="5" xfId="0" applyFont="1" applyFill="1" applyBorder="1" applyAlignment="1">
      <alignment horizontal="left" vertical="center"/>
    </xf>
    <xf numFmtId="0" fontId="9" fillId="8" borderId="0" xfId="0" applyFont="1" applyFill="1" applyAlignment="1">
      <alignment horizontal="center" vertical="center" wrapText="1"/>
    </xf>
    <xf numFmtId="164" fontId="9" fillId="8" borderId="6" xfId="0" applyNumberFormat="1" applyFont="1" applyFill="1" applyBorder="1" applyAlignment="1">
      <alignment horizontal="center" vertical="center" wrapText="1"/>
    </xf>
    <xf numFmtId="0" fontId="2" fillId="3" borderId="0" xfId="0" applyFont="1" applyFill="1" applyAlignment="1">
      <alignment vertical="center" wrapText="1"/>
    </xf>
    <xf numFmtId="164" fontId="9" fillId="8" borderId="0" xfId="0" applyNumberFormat="1" applyFont="1" applyFill="1" applyAlignment="1">
      <alignment horizontal="center" vertical="center" wrapText="1"/>
    </xf>
    <xf numFmtId="0" fontId="10" fillId="3" borderId="5" xfId="0" applyFont="1" applyFill="1" applyBorder="1" applyAlignment="1">
      <alignment horizontal="left" vertical="center"/>
    </xf>
    <xf numFmtId="0" fontId="10" fillId="3" borderId="0" xfId="0" applyFont="1" applyFill="1" applyAlignment="1">
      <alignment horizontal="center" vertical="center" wrapText="1"/>
    </xf>
    <xf numFmtId="164" fontId="10" fillId="3" borderId="6" xfId="0" applyNumberFormat="1" applyFont="1" applyFill="1" applyBorder="1" applyAlignment="1">
      <alignment horizontal="center" vertical="center" wrapText="1"/>
    </xf>
    <xf numFmtId="0" fontId="0" fillId="3" borderId="0" xfId="0" applyFill="1" applyAlignment="1">
      <alignment vertical="center" wrapText="1"/>
    </xf>
    <xf numFmtId="164" fontId="10" fillId="3" borderId="0" xfId="0" applyNumberFormat="1" applyFont="1" applyFill="1" applyAlignment="1">
      <alignment horizontal="center" vertical="center" wrapText="1"/>
    </xf>
    <xf numFmtId="0" fontId="10" fillId="3" borderId="7" xfId="0" applyFont="1" applyFill="1" applyBorder="1" applyAlignment="1">
      <alignment horizontal="left" vertical="center"/>
    </xf>
    <xf numFmtId="0" fontId="9" fillId="9" borderId="7" xfId="0" applyFont="1" applyFill="1" applyBorder="1" applyAlignment="1">
      <alignment horizontal="left" vertical="center"/>
    </xf>
    <xf numFmtId="0" fontId="2" fillId="9" borderId="12" xfId="0" applyFont="1" applyFill="1" applyBorder="1" applyAlignment="1">
      <alignment horizontal="center" vertical="center"/>
    </xf>
    <xf numFmtId="164" fontId="2" fillId="9" borderId="13" xfId="0" quotePrefix="1" applyNumberFormat="1" applyFont="1" applyFill="1" applyBorder="1" applyAlignment="1">
      <alignment horizontal="center" vertical="center"/>
    </xf>
    <xf numFmtId="0" fontId="0" fillId="3" borderId="0" xfId="0" applyFill="1" applyAlignment="1">
      <alignment vertical="center"/>
    </xf>
    <xf numFmtId="164" fontId="2" fillId="9" borderId="12" xfId="0" applyNumberFormat="1" applyFont="1" applyFill="1" applyBorder="1" applyAlignment="1">
      <alignment horizontal="center" vertical="center"/>
    </xf>
    <xf numFmtId="0" fontId="9" fillId="8" borderId="0" xfId="0" applyFont="1" applyFill="1" applyAlignment="1">
      <alignment horizontal="left" vertical="center"/>
    </xf>
    <xf numFmtId="0" fontId="9" fillId="8" borderId="6" xfId="0" applyFont="1" applyFill="1" applyBorder="1" applyAlignment="1">
      <alignment horizontal="left" vertical="center"/>
    </xf>
    <xf numFmtId="0" fontId="9" fillId="8" borderId="3" xfId="0" applyFont="1" applyFill="1" applyBorder="1" applyAlignment="1">
      <alignment horizontal="left" vertical="center"/>
    </xf>
    <xf numFmtId="0" fontId="9" fillId="8" borderId="4" xfId="0" applyFont="1" applyFill="1" applyBorder="1" applyAlignment="1">
      <alignment horizontal="left" vertical="center"/>
    </xf>
    <xf numFmtId="0" fontId="9" fillId="8" borderId="2" xfId="0" applyFont="1" applyFill="1" applyBorder="1" applyAlignment="1">
      <alignment horizontal="left" vertical="center"/>
    </xf>
    <xf numFmtId="9" fontId="52" fillId="0" borderId="0" xfId="0" applyNumberFormat="1" applyFont="1"/>
    <xf numFmtId="3" fontId="52" fillId="0" borderId="0" xfId="0" applyNumberFormat="1" applyFont="1"/>
    <xf numFmtId="0" fontId="53" fillId="0" borderId="0" xfId="0" applyFont="1" applyAlignment="1">
      <alignment horizontal="center" wrapText="1"/>
    </xf>
    <xf numFmtId="3" fontId="52" fillId="0" borderId="0" xfId="0" quotePrefix="1" applyNumberFormat="1" applyFont="1"/>
    <xf numFmtId="165" fontId="52" fillId="0" borderId="0" xfId="1" applyNumberFormat="1" applyFont="1"/>
    <xf numFmtId="0" fontId="15" fillId="0" borderId="16" xfId="0" applyFont="1" applyBorder="1" applyAlignment="1">
      <alignment horizontal="left" vertical="center" wrapText="1"/>
    </xf>
    <xf numFmtId="0" fontId="15" fillId="0" borderId="16" xfId="0" applyFont="1" applyBorder="1" applyAlignment="1">
      <alignment horizontal="center" vertical="center" wrapText="1"/>
    </xf>
    <xf numFmtId="0" fontId="15" fillId="13" borderId="0" xfId="0" applyFont="1" applyFill="1" applyAlignment="1">
      <alignment horizontal="center" vertical="center" wrapText="1"/>
    </xf>
    <xf numFmtId="0" fontId="16" fillId="12" borderId="17" xfId="0" applyFont="1" applyFill="1" applyBorder="1" applyAlignment="1">
      <alignment vertical="center" wrapText="1"/>
    </xf>
    <xf numFmtId="166" fontId="16" fillId="12" borderId="17" xfId="0" applyNumberFormat="1" applyFont="1" applyFill="1" applyBorder="1" applyAlignment="1">
      <alignment horizontal="center" vertical="center" wrapText="1"/>
    </xf>
    <xf numFmtId="3" fontId="16" fillId="12" borderId="17" xfId="0" applyNumberFormat="1" applyFont="1" applyFill="1" applyBorder="1" applyAlignment="1">
      <alignment horizontal="center" vertical="center" wrapText="1"/>
    </xf>
    <xf numFmtId="0" fontId="15" fillId="12" borderId="68" xfId="0" applyFont="1" applyFill="1" applyBorder="1" applyAlignment="1">
      <alignment horizontal="center" vertical="center" wrapText="1"/>
    </xf>
    <xf numFmtId="0" fontId="16" fillId="0" borderId="16" xfId="0" applyFont="1" applyBorder="1" applyAlignment="1">
      <alignment vertical="center" wrapText="1"/>
    </xf>
    <xf numFmtId="166" fontId="16" fillId="0" borderId="16" xfId="0" applyNumberFormat="1" applyFont="1" applyBorder="1" applyAlignment="1">
      <alignment horizontal="center" vertical="center" wrapText="1"/>
    </xf>
    <xf numFmtId="3" fontId="16" fillId="0" borderId="16" xfId="0" applyNumberFormat="1"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9" fontId="16" fillId="0" borderId="1" xfId="0" applyNumberFormat="1" applyFont="1" applyBorder="1" applyAlignment="1">
      <alignment horizontal="center" vertical="center" wrapText="1"/>
    </xf>
    <xf numFmtId="0" fontId="16" fillId="0" borderId="69" xfId="0" applyFont="1" applyBorder="1" applyAlignment="1">
      <alignment vertical="center" wrapText="1"/>
    </xf>
    <xf numFmtId="0" fontId="16" fillId="0" borderId="10" xfId="0" applyFont="1" applyBorder="1" applyAlignment="1">
      <alignment horizontal="center" vertical="center" wrapText="1"/>
    </xf>
    <xf numFmtId="9" fontId="16" fillId="0" borderId="10" xfId="0" applyNumberFormat="1" applyFont="1" applyBorder="1" applyAlignment="1">
      <alignment horizontal="center" vertical="center" wrapText="1"/>
    </xf>
    <xf numFmtId="0" fontId="18" fillId="0" borderId="70" xfId="0" applyFont="1" applyBorder="1" applyAlignment="1">
      <alignment vertical="center" wrapText="1"/>
    </xf>
    <xf numFmtId="0" fontId="18" fillId="0" borderId="71" xfId="0" applyFont="1" applyBorder="1" applyAlignment="1">
      <alignment horizontal="center" vertical="center" wrapText="1"/>
    </xf>
    <xf numFmtId="9" fontId="18" fillId="0" borderId="71" xfId="0" applyNumberFormat="1" applyFont="1" applyBorder="1" applyAlignment="1">
      <alignment horizontal="center" vertical="center" wrapText="1"/>
    </xf>
    <xf numFmtId="0" fontId="20" fillId="12" borderId="72" xfId="0" applyFont="1" applyFill="1" applyBorder="1" applyAlignment="1">
      <alignment vertical="center"/>
    </xf>
    <xf numFmtId="0" fontId="16" fillId="12" borderId="69" xfId="0" applyFont="1" applyFill="1" applyBorder="1" applyAlignment="1">
      <alignment vertical="center" wrapText="1"/>
    </xf>
    <xf numFmtId="0" fontId="16" fillId="12" borderId="10" xfId="0" applyFont="1" applyFill="1" applyBorder="1" applyAlignment="1">
      <alignment horizontal="center" vertical="center" wrapText="1"/>
    </xf>
    <xf numFmtId="9" fontId="16" fillId="12" borderId="10" xfId="0" applyNumberFormat="1" applyFont="1" applyFill="1" applyBorder="1" applyAlignment="1">
      <alignment horizontal="center" vertical="center" wrapText="1"/>
    </xf>
    <xf numFmtId="0" fontId="31" fillId="0" borderId="0" xfId="0" applyFont="1" applyAlignment="1">
      <alignment horizontal="centerContinuous" vertical="center"/>
    </xf>
    <xf numFmtId="0" fontId="31" fillId="0" borderId="0" xfId="0" applyFont="1" applyAlignment="1">
      <alignment horizontal="centerContinuous"/>
    </xf>
    <xf numFmtId="0" fontId="15" fillId="0" borderId="37" xfId="0" applyFont="1" applyBorder="1" applyAlignment="1">
      <alignment horizontal="centerContinuous" vertical="center" wrapText="1"/>
    </xf>
    <xf numFmtId="0" fontId="16" fillId="0" borderId="74" xfId="0" applyFont="1" applyBorder="1" applyAlignment="1">
      <alignment vertical="center" wrapText="1"/>
    </xf>
    <xf numFmtId="9" fontId="16" fillId="0" borderId="74" xfId="0" applyNumberFormat="1" applyFont="1" applyBorder="1" applyAlignment="1">
      <alignment horizontal="center" vertical="center" wrapText="1"/>
    </xf>
    <xf numFmtId="0" fontId="15" fillId="0" borderId="16" xfId="0" applyFont="1" applyBorder="1" applyAlignment="1">
      <alignment vertical="center" wrapText="1"/>
    </xf>
    <xf numFmtId="0" fontId="15" fillId="0" borderId="75" xfId="0" applyFont="1" applyBorder="1" applyAlignment="1">
      <alignment horizontal="center" vertical="center" wrapText="1"/>
    </xf>
    <xf numFmtId="0" fontId="15" fillId="0" borderId="76" xfId="0" applyFont="1" applyBorder="1" applyAlignment="1">
      <alignment horizontal="center" vertical="center" wrapText="1"/>
    </xf>
    <xf numFmtId="0" fontId="16" fillId="0" borderId="10" xfId="0" applyFont="1" applyBorder="1" applyAlignment="1">
      <alignment vertical="center" wrapText="1"/>
    </xf>
    <xf numFmtId="9" fontId="16" fillId="0" borderId="0" xfId="0" applyNumberFormat="1" applyFont="1" applyAlignment="1">
      <alignment horizontal="center" vertical="center" wrapText="1"/>
    </xf>
    <xf numFmtId="165" fontId="16" fillId="0" borderId="1" xfId="0" applyNumberFormat="1" applyFont="1" applyBorder="1" applyAlignment="1">
      <alignment horizontal="center" vertical="center" wrapText="1"/>
    </xf>
    <xf numFmtId="165" fontId="16" fillId="0" borderId="77" xfId="0" applyNumberFormat="1" applyFont="1" applyBorder="1" applyAlignment="1">
      <alignment horizontal="center" vertical="center" wrapText="1"/>
    </xf>
    <xf numFmtId="0" fontId="66" fillId="0" borderId="0" xfId="0" applyFont="1" applyAlignment="1">
      <alignment horizontal="center" vertical="center" wrapText="1"/>
    </xf>
    <xf numFmtId="0" fontId="18" fillId="12" borderId="71" xfId="0" applyFont="1" applyFill="1" applyBorder="1" applyAlignment="1">
      <alignment vertical="center" wrapText="1"/>
    </xf>
    <xf numFmtId="9" fontId="18" fillId="12" borderId="71" xfId="0" applyNumberFormat="1" applyFont="1" applyFill="1" applyBorder="1" applyAlignment="1">
      <alignment horizontal="center" vertical="center" wrapText="1"/>
    </xf>
    <xf numFmtId="165" fontId="16" fillId="0" borderId="69" xfId="0" applyNumberFormat="1" applyFont="1" applyBorder="1" applyAlignment="1">
      <alignment horizontal="center" vertical="center" wrapText="1"/>
    </xf>
    <xf numFmtId="165" fontId="16" fillId="0" borderId="78" xfId="0" applyNumberFormat="1" applyFont="1" applyBorder="1" applyAlignment="1">
      <alignment horizontal="center" vertical="center" wrapText="1"/>
    </xf>
    <xf numFmtId="0" fontId="16" fillId="0" borderId="80" xfId="0" applyFont="1" applyBorder="1" applyAlignment="1">
      <alignment vertical="center" wrapText="1"/>
    </xf>
    <xf numFmtId="9" fontId="16" fillId="0" borderId="80" xfId="0" applyNumberFormat="1" applyFont="1" applyBorder="1" applyAlignment="1">
      <alignment horizontal="center" vertical="center" wrapText="1"/>
    </xf>
    <xf numFmtId="9" fontId="18" fillId="0" borderId="0" xfId="0" applyNumberFormat="1" applyFont="1" applyAlignment="1">
      <alignment horizontal="center" vertical="center" wrapText="1"/>
    </xf>
    <xf numFmtId="0" fontId="18" fillId="12" borderId="70" xfId="0" applyFont="1" applyFill="1" applyBorder="1" applyAlignment="1">
      <alignment vertical="center" wrapText="1"/>
    </xf>
    <xf numFmtId="165" fontId="18" fillId="12" borderId="70" xfId="0" applyNumberFormat="1" applyFont="1" applyFill="1" applyBorder="1" applyAlignment="1">
      <alignment horizontal="center" vertical="center" wrapText="1"/>
    </xf>
    <xf numFmtId="165" fontId="18" fillId="12" borderId="81" xfId="0" applyNumberFormat="1" applyFont="1" applyFill="1" applyBorder="1" applyAlignment="1">
      <alignment horizontal="center" vertical="center" wrapText="1"/>
    </xf>
    <xf numFmtId="0" fontId="33" fillId="0" borderId="0" xfId="0" applyFont="1" applyAlignment="1">
      <alignment horizontal="center" vertical="center" wrapText="1"/>
    </xf>
    <xf numFmtId="10" fontId="18" fillId="0" borderId="0" xfId="0" applyNumberFormat="1" applyFont="1" applyAlignment="1">
      <alignment horizontal="center" vertical="center" wrapText="1"/>
    </xf>
    <xf numFmtId="165" fontId="16" fillId="0" borderId="1" xfId="0" applyNumberFormat="1" applyFont="1" applyBorder="1" applyAlignment="1">
      <alignment horizontal="center" vertical="center"/>
    </xf>
    <xf numFmtId="0" fontId="28" fillId="0" borderId="0" xfId="0" applyFont="1" applyAlignment="1">
      <alignment horizontal="centerContinuous" vertical="center"/>
    </xf>
    <xf numFmtId="0" fontId="16" fillId="0" borderId="82" xfId="0" applyFont="1" applyBorder="1" applyAlignment="1">
      <alignment vertical="center" wrapText="1"/>
    </xf>
    <xf numFmtId="8" fontId="17" fillId="0" borderId="82" xfId="0" applyNumberFormat="1" applyFont="1" applyBorder="1" applyAlignment="1">
      <alignment horizontal="center" vertical="center" wrapText="1"/>
    </xf>
    <xf numFmtId="8" fontId="51" fillId="0" borderId="82" xfId="0" applyNumberFormat="1" applyFont="1" applyBorder="1" applyAlignment="1">
      <alignment horizontal="center" vertical="center" wrapText="1"/>
    </xf>
    <xf numFmtId="0" fontId="17" fillId="0" borderId="82" xfId="0" applyFont="1" applyBorder="1" applyAlignment="1">
      <alignment horizontal="center" vertical="center" wrapText="1"/>
    </xf>
    <xf numFmtId="9" fontId="17" fillId="0" borderId="83" xfId="0" applyNumberFormat="1" applyFont="1" applyBorder="1" applyAlignment="1">
      <alignment horizontal="center" vertical="center" wrapText="1"/>
    </xf>
    <xf numFmtId="9" fontId="17" fillId="0" borderId="82" xfId="0" applyNumberFormat="1" applyFont="1" applyBorder="1" applyAlignment="1">
      <alignment horizontal="center" vertical="center" wrapText="1"/>
    </xf>
    <xf numFmtId="9" fontId="51" fillId="0" borderId="82" xfId="0" applyNumberFormat="1" applyFont="1" applyBorder="1" applyAlignment="1">
      <alignment horizontal="center" vertical="center" wrapText="1"/>
    </xf>
    <xf numFmtId="0" fontId="17" fillId="0" borderId="83" xfId="0" applyFont="1" applyBorder="1" applyAlignment="1">
      <alignment horizontal="center" vertical="center" wrapText="1"/>
    </xf>
    <xf numFmtId="0" fontId="16" fillId="0" borderId="17" xfId="0" applyFont="1" applyBorder="1" applyAlignment="1">
      <alignment vertical="center" wrapText="1"/>
    </xf>
    <xf numFmtId="8" fontId="17" fillId="0" borderId="17" xfId="0" applyNumberFormat="1" applyFont="1" applyBorder="1" applyAlignment="1">
      <alignment horizontal="center" vertical="center" wrapText="1"/>
    </xf>
    <xf numFmtId="8" fontId="51" fillId="0" borderId="17" xfId="0" applyNumberFormat="1" applyFont="1" applyBorder="1" applyAlignment="1">
      <alignment horizontal="center" vertical="center" wrapText="1"/>
    </xf>
    <xf numFmtId="9" fontId="17" fillId="0" borderId="84" xfId="0" applyNumberFormat="1" applyFont="1" applyBorder="1" applyAlignment="1">
      <alignment horizontal="center" vertical="center" wrapText="1"/>
    </xf>
    <xf numFmtId="9" fontId="17" fillId="0" borderId="17" xfId="0" applyNumberFormat="1" applyFont="1" applyBorder="1" applyAlignment="1">
      <alignment horizontal="center" vertical="center" wrapText="1"/>
    </xf>
    <xf numFmtId="9" fontId="51" fillId="0" borderId="17" xfId="0" applyNumberFormat="1" applyFont="1" applyBorder="1" applyAlignment="1">
      <alignment horizontal="center" vertical="center" wrapText="1"/>
    </xf>
    <xf numFmtId="0" fontId="17" fillId="0" borderId="84" xfId="0" applyFont="1" applyBorder="1" applyAlignment="1">
      <alignment horizontal="center" vertical="center" wrapText="1"/>
    </xf>
    <xf numFmtId="166" fontId="17" fillId="0" borderId="17" xfId="0" applyNumberFormat="1" applyFont="1" applyBorder="1" applyAlignment="1">
      <alignment horizontal="center" vertical="center" wrapText="1"/>
    </xf>
    <xf numFmtId="166" fontId="51" fillId="0" borderId="17" xfId="0" applyNumberFormat="1" applyFont="1" applyBorder="1" applyAlignment="1">
      <alignment horizontal="center" vertical="center" wrapText="1"/>
    </xf>
    <xf numFmtId="0" fontId="67" fillId="0" borderId="0" xfId="0" applyFont="1" applyAlignment="1">
      <alignment horizontal="centerContinuous" vertical="center"/>
    </xf>
    <xf numFmtId="0" fontId="15" fillId="0" borderId="85" xfId="0" applyFont="1" applyBorder="1" applyAlignment="1">
      <alignment horizontal="left" vertical="center" wrapText="1"/>
    </xf>
    <xf numFmtId="0" fontId="15" fillId="0" borderId="85" xfId="0" applyFont="1" applyBorder="1" applyAlignment="1">
      <alignment horizontal="center" vertical="center" wrapText="1"/>
    </xf>
    <xf numFmtId="0" fontId="16" fillId="12" borderId="86" xfId="0" applyFont="1" applyFill="1" applyBorder="1" applyAlignment="1">
      <alignment vertical="center" wrapText="1"/>
    </xf>
    <xf numFmtId="9" fontId="16" fillId="12" borderId="86" xfId="0" applyNumberFormat="1" applyFont="1" applyFill="1" applyBorder="1" applyAlignment="1">
      <alignment horizontal="center" vertical="center" wrapText="1"/>
    </xf>
    <xf numFmtId="9" fontId="18" fillId="12" borderId="86" xfId="0" applyNumberFormat="1" applyFont="1" applyFill="1" applyBorder="1" applyAlignment="1">
      <alignment horizontal="center" vertical="center" wrapText="1"/>
    </xf>
    <xf numFmtId="0" fontId="15" fillId="12" borderId="70" xfId="0" applyFont="1" applyFill="1" applyBorder="1" applyAlignment="1">
      <alignment horizontal="center" vertical="center" wrapText="1"/>
    </xf>
    <xf numFmtId="0" fontId="16" fillId="0" borderId="86" xfId="0" applyFont="1" applyBorder="1" applyAlignment="1">
      <alignment vertical="center" wrapText="1"/>
    </xf>
    <xf numFmtId="9" fontId="16" fillId="0" borderId="86" xfId="0" applyNumberFormat="1" applyFont="1" applyBorder="1" applyAlignment="1">
      <alignment horizontal="center" vertical="center" wrapText="1"/>
    </xf>
    <xf numFmtId="9" fontId="18" fillId="0" borderId="86" xfId="0" applyNumberFormat="1" applyFont="1" applyBorder="1" applyAlignment="1">
      <alignment horizontal="center" vertical="center" wrapText="1"/>
    </xf>
    <xf numFmtId="0" fontId="16" fillId="12" borderId="82" xfId="0" applyFont="1" applyFill="1" applyBorder="1" applyAlignment="1">
      <alignment vertical="center" wrapText="1"/>
    </xf>
    <xf numFmtId="9" fontId="16" fillId="12" borderId="82" xfId="0" applyNumberFormat="1" applyFont="1" applyFill="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13" borderId="0" xfId="0" applyFont="1" applyFill="1" applyAlignment="1">
      <alignment horizontal="center" vertical="center" wrapText="1"/>
    </xf>
    <xf numFmtId="0" fontId="16" fillId="0" borderId="20" xfId="0" applyFont="1" applyBorder="1" applyAlignment="1">
      <alignment vertical="center" wrapText="1"/>
    </xf>
    <xf numFmtId="9" fontId="16" fillId="0" borderId="20" xfId="0" applyNumberFormat="1" applyFont="1" applyBorder="1" applyAlignment="1">
      <alignment horizontal="center" vertical="center" wrapText="1"/>
    </xf>
    <xf numFmtId="0" fontId="16" fillId="12" borderId="87" xfId="0" applyFont="1" applyFill="1" applyBorder="1" applyAlignment="1">
      <alignment vertical="center" wrapText="1"/>
    </xf>
    <xf numFmtId="0" fontId="16" fillId="12" borderId="87" xfId="0" applyFont="1" applyFill="1" applyBorder="1" applyAlignment="1">
      <alignment horizontal="center" vertical="center" wrapText="1"/>
    </xf>
    <xf numFmtId="9" fontId="16" fillId="12" borderId="87" xfId="0" applyNumberFormat="1" applyFont="1" applyFill="1" applyBorder="1" applyAlignment="1">
      <alignment horizontal="center" vertical="center" wrapText="1"/>
    </xf>
    <xf numFmtId="0" fontId="16" fillId="0" borderId="88" xfId="0" applyFont="1" applyBorder="1" applyAlignment="1">
      <alignment vertical="center" wrapText="1"/>
    </xf>
    <xf numFmtId="9" fontId="16" fillId="0" borderId="88" xfId="0" applyNumberFormat="1" applyFont="1" applyBorder="1" applyAlignment="1">
      <alignment horizontal="center" vertical="center" wrapText="1"/>
    </xf>
    <xf numFmtId="9" fontId="18" fillId="0" borderId="88" xfId="0" applyNumberFormat="1" applyFont="1" applyBorder="1" applyAlignment="1">
      <alignment horizontal="center" vertical="center" wrapText="1"/>
    </xf>
    <xf numFmtId="0" fontId="16" fillId="12" borderId="20" xfId="0" applyFont="1" applyFill="1" applyBorder="1" applyAlignment="1">
      <alignment vertical="center" wrapText="1"/>
    </xf>
    <xf numFmtId="9" fontId="16" fillId="12" borderId="20" xfId="0" applyNumberFormat="1" applyFont="1" applyFill="1" applyBorder="1" applyAlignment="1">
      <alignment horizontal="center" vertical="center" wrapText="1"/>
    </xf>
    <xf numFmtId="0" fontId="18" fillId="0" borderId="70" xfId="0" applyFont="1" applyBorder="1" applyAlignment="1">
      <alignment horizontal="center" vertical="center" wrapText="1"/>
    </xf>
    <xf numFmtId="0" fontId="18" fillId="13" borderId="0" xfId="0" applyFont="1" applyFill="1" applyAlignment="1">
      <alignment horizontal="center" vertical="center" wrapText="1"/>
    </xf>
    <xf numFmtId="9" fontId="18" fillId="0" borderId="70" xfId="0" applyNumberFormat="1" applyFont="1" applyBorder="1" applyAlignment="1">
      <alignment horizontal="center" vertical="center" wrapText="1"/>
    </xf>
    <xf numFmtId="0" fontId="2" fillId="12" borderId="89" xfId="0" applyFont="1" applyFill="1" applyBorder="1" applyAlignment="1">
      <alignment vertical="center"/>
    </xf>
    <xf numFmtId="0" fontId="16" fillId="0" borderId="90" xfId="0" applyFont="1" applyBorder="1" applyAlignment="1">
      <alignment vertical="center" wrapText="1"/>
    </xf>
    <xf numFmtId="9" fontId="16" fillId="0" borderId="90" xfId="0" applyNumberFormat="1" applyFont="1" applyBorder="1" applyAlignment="1">
      <alignment horizontal="center" vertical="center" wrapText="1"/>
    </xf>
    <xf numFmtId="0" fontId="15" fillId="12" borderId="91" xfId="0" applyFont="1" applyFill="1" applyBorder="1" applyAlignment="1">
      <alignment vertical="center" wrapText="1"/>
    </xf>
    <xf numFmtId="0" fontId="16" fillId="0" borderId="92" xfId="0" applyFont="1" applyBorder="1" applyAlignment="1">
      <alignment vertical="center" wrapText="1"/>
    </xf>
    <xf numFmtId="9" fontId="16" fillId="0" borderId="92" xfId="0" applyNumberFormat="1" applyFont="1" applyBorder="1" applyAlignment="1">
      <alignment horizontal="center" vertical="center" wrapText="1"/>
    </xf>
    <xf numFmtId="0" fontId="16" fillId="12" borderId="92" xfId="0" applyFont="1" applyFill="1" applyBorder="1" applyAlignment="1">
      <alignment vertical="center" wrapText="1"/>
    </xf>
    <xf numFmtId="9" fontId="16" fillId="12" borderId="92" xfId="0" applyNumberFormat="1" applyFont="1" applyFill="1" applyBorder="1" applyAlignment="1">
      <alignment horizontal="center" vertical="center" wrapText="1"/>
    </xf>
    <xf numFmtId="0" fontId="15" fillId="0" borderId="91" xfId="0" applyFont="1" applyBorder="1" applyAlignment="1">
      <alignment vertical="center" wrapText="1"/>
    </xf>
    <xf numFmtId="0" fontId="20" fillId="0" borderId="0" xfId="0" applyFont="1" applyAlignment="1">
      <alignment vertical="center" wrapText="1"/>
    </xf>
    <xf numFmtId="0" fontId="9" fillId="0" borderId="0" xfId="0" applyFont="1" applyAlignment="1">
      <alignment horizontal="center"/>
    </xf>
    <xf numFmtId="0" fontId="9" fillId="0" borderId="0" xfId="0" applyFont="1" applyAlignment="1">
      <alignment horizontal="center" wrapText="1"/>
    </xf>
    <xf numFmtId="0" fontId="13" fillId="0" borderId="0" xfId="0" applyFont="1"/>
    <xf numFmtId="9" fontId="0" fillId="0" borderId="0" xfId="1" applyFont="1"/>
    <xf numFmtId="0" fontId="15" fillId="0" borderId="93" xfId="0" applyFont="1" applyBorder="1" applyAlignment="1">
      <alignment horizontal="center" vertical="center" wrapText="1"/>
    </xf>
    <xf numFmtId="0" fontId="38" fillId="10" borderId="0" xfId="0" applyFont="1" applyFill="1" applyAlignment="1">
      <alignment horizontal="center" vertical="center" wrapText="1"/>
    </xf>
    <xf numFmtId="0" fontId="11" fillId="0" borderId="0" xfId="0" applyFont="1"/>
    <xf numFmtId="3" fontId="16" fillId="12" borderId="82" xfId="0" applyNumberFormat="1" applyFont="1" applyFill="1" applyBorder="1" applyAlignment="1">
      <alignment horizontal="center" vertical="center" wrapText="1"/>
    </xf>
    <xf numFmtId="0" fontId="39" fillId="10" borderId="0" xfId="0" applyFont="1" applyFill="1" applyAlignment="1">
      <alignment horizontal="center" vertical="center" wrapText="1"/>
    </xf>
    <xf numFmtId="0" fontId="16" fillId="12" borderId="17" xfId="0" applyFont="1" applyFill="1" applyBorder="1" applyAlignment="1">
      <alignment horizontal="center" vertical="center" wrapText="1"/>
    </xf>
    <xf numFmtId="166" fontId="16" fillId="0" borderId="17" xfId="0" applyNumberFormat="1" applyFont="1" applyBorder="1" applyAlignment="1">
      <alignment horizontal="center" vertical="center" wrapText="1"/>
    </xf>
    <xf numFmtId="0" fontId="16" fillId="0" borderId="17" xfId="0" applyFont="1" applyBorder="1" applyAlignment="1">
      <alignment horizontal="center" vertical="center" wrapText="1"/>
    </xf>
    <xf numFmtId="0" fontId="0" fillId="6" borderId="0" xfId="0" applyFill="1"/>
    <xf numFmtId="3" fontId="16" fillId="0" borderId="17" xfId="0" applyNumberFormat="1" applyFont="1" applyBorder="1" applyAlignment="1">
      <alignment horizontal="center" vertical="center" wrapText="1"/>
    </xf>
    <xf numFmtId="0" fontId="17" fillId="12" borderId="16" xfId="0" applyFont="1" applyFill="1" applyBorder="1" applyAlignment="1">
      <alignment horizontal="center" vertical="center" wrapText="1"/>
    </xf>
    <xf numFmtId="0" fontId="17" fillId="0" borderId="0" xfId="0" applyFont="1" applyAlignment="1">
      <alignment horizontal="center" vertical="center" wrapText="1"/>
    </xf>
    <xf numFmtId="0" fontId="18" fillId="12" borderId="1" xfId="0" applyFont="1" applyFill="1" applyBorder="1" applyAlignment="1">
      <alignment horizontal="center" vertical="center" wrapText="1"/>
    </xf>
    <xf numFmtId="0" fontId="18" fillId="12" borderId="0" xfId="0" applyFont="1" applyFill="1" applyAlignment="1">
      <alignment horizontal="center" vertical="center" wrapText="1"/>
    </xf>
    <xf numFmtId="9" fontId="18" fillId="12" borderId="1" xfId="0" applyNumberFormat="1" applyFont="1" applyFill="1" applyBorder="1" applyAlignment="1">
      <alignment horizontal="center" vertical="center" wrapText="1"/>
    </xf>
    <xf numFmtId="0" fontId="16" fillId="0" borderId="16" xfId="0" applyFont="1" applyBorder="1" applyAlignment="1">
      <alignment horizontal="center" vertical="center" wrapText="1"/>
    </xf>
    <xf numFmtId="0" fontId="18" fillId="12" borderId="17" xfId="0" applyFont="1" applyFill="1" applyBorder="1" applyAlignment="1">
      <alignment horizontal="center" vertical="center" wrapText="1"/>
    </xf>
    <xf numFmtId="0" fontId="18" fillId="0" borderId="0" xfId="0" applyFont="1" applyAlignment="1">
      <alignment horizontal="center" vertical="center" wrapText="1"/>
    </xf>
    <xf numFmtId="9" fontId="16" fillId="0" borderId="17" xfId="0" applyNumberFormat="1" applyFont="1" applyBorder="1" applyAlignment="1">
      <alignment horizontal="center" vertical="center" wrapText="1"/>
    </xf>
    <xf numFmtId="9" fontId="16" fillId="0" borderId="70" xfId="0" applyNumberFormat="1" applyFont="1" applyBorder="1" applyAlignment="1">
      <alignment horizontal="center" vertical="center" wrapText="1"/>
    </xf>
    <xf numFmtId="0" fontId="16" fillId="0" borderId="70" xfId="0" applyFont="1" applyBorder="1" applyAlignment="1">
      <alignment horizontal="center" vertical="center" wrapText="1"/>
    </xf>
    <xf numFmtId="0" fontId="16" fillId="0" borderId="0" xfId="0" applyFont="1" applyAlignment="1">
      <alignment horizontal="center" vertical="center"/>
    </xf>
    <xf numFmtId="0" fontId="15" fillId="0" borderId="93" xfId="0" applyFont="1" applyBorder="1" applyAlignment="1">
      <alignment horizontal="left" vertical="center" wrapText="1"/>
    </xf>
    <xf numFmtId="0" fontId="15" fillId="0" borderId="94" xfId="0" applyFont="1" applyBorder="1" applyAlignment="1">
      <alignment horizontal="left" vertical="center" wrapText="1"/>
    </xf>
    <xf numFmtId="0" fontId="16" fillId="12" borderId="83" xfId="0" applyFont="1" applyFill="1" applyBorder="1" applyAlignment="1">
      <alignment vertical="center" wrapText="1"/>
    </xf>
    <xf numFmtId="3" fontId="16" fillId="0" borderId="20" xfId="0" applyNumberFormat="1" applyFont="1" applyBorder="1" applyAlignment="1">
      <alignment horizontal="center" vertical="center" wrapText="1"/>
    </xf>
    <xf numFmtId="0" fontId="16" fillId="0" borderId="95" xfId="0" applyFont="1" applyBorder="1" applyAlignment="1">
      <alignment vertical="center" wrapText="1"/>
    </xf>
    <xf numFmtId="3" fontId="16" fillId="12" borderId="20" xfId="0" applyNumberFormat="1" applyFont="1" applyFill="1" applyBorder="1" applyAlignment="1">
      <alignment horizontal="center" vertical="center" wrapText="1"/>
    </xf>
    <xf numFmtId="0" fontId="16" fillId="12" borderId="95" xfId="0" applyFont="1" applyFill="1" applyBorder="1" applyAlignment="1">
      <alignment vertical="center" wrapText="1"/>
    </xf>
    <xf numFmtId="0" fontId="16" fillId="13" borderId="17" xfId="0" applyFont="1" applyFill="1" applyBorder="1" applyAlignment="1">
      <alignment horizontal="center" vertical="center" wrapText="1"/>
    </xf>
    <xf numFmtId="0" fontId="20" fillId="0" borderId="93" xfId="0" applyFont="1" applyBorder="1" applyAlignment="1">
      <alignment horizontal="left" vertical="center" wrapText="1"/>
    </xf>
    <xf numFmtId="0" fontId="20" fillId="0" borderId="93" xfId="0" applyFont="1" applyBorder="1" applyAlignment="1">
      <alignment horizontal="center" vertical="center" wrapText="1"/>
    </xf>
    <xf numFmtId="0" fontId="37" fillId="12" borderId="17" xfId="0" applyFont="1" applyFill="1" applyBorder="1" applyAlignment="1">
      <alignment vertical="center" wrapText="1"/>
    </xf>
    <xf numFmtId="6" fontId="37" fillId="12" borderId="17" xfId="0" applyNumberFormat="1" applyFont="1" applyFill="1" applyBorder="1" applyAlignment="1">
      <alignment horizontal="center" vertical="center" wrapText="1"/>
    </xf>
    <xf numFmtId="9" fontId="37" fillId="12" borderId="17" xfId="0" applyNumberFormat="1" applyFont="1" applyFill="1" applyBorder="1" applyAlignment="1">
      <alignment horizontal="center" vertical="center" wrapText="1"/>
    </xf>
    <xf numFmtId="0" fontId="37" fillId="13" borderId="0" xfId="0" applyFont="1" applyFill="1" applyAlignment="1">
      <alignment horizontal="center" vertical="center" wrapText="1"/>
    </xf>
    <xf numFmtId="0" fontId="37" fillId="12" borderId="17" xfId="0" applyFont="1" applyFill="1" applyBorder="1" applyAlignment="1">
      <alignment horizontal="center" vertical="center" wrapText="1"/>
    </xf>
    <xf numFmtId="0" fontId="37" fillId="0" borderId="16" xfId="0" applyFont="1" applyBorder="1" applyAlignment="1">
      <alignment vertical="center" wrapText="1"/>
    </xf>
    <xf numFmtId="6" fontId="37" fillId="0" borderId="16" xfId="0" applyNumberFormat="1" applyFont="1" applyBorder="1" applyAlignment="1">
      <alignment horizontal="center" vertical="center" wrapText="1"/>
    </xf>
    <xf numFmtId="9" fontId="37" fillId="0" borderId="16" xfId="0" applyNumberFormat="1" applyFont="1" applyBorder="1" applyAlignment="1">
      <alignment horizontal="center" vertical="center" wrapText="1"/>
    </xf>
    <xf numFmtId="0" fontId="37" fillId="0" borderId="16" xfId="0" applyFont="1" applyBorder="1" applyAlignment="1">
      <alignment horizontal="center" vertical="center" wrapText="1"/>
    </xf>
    <xf numFmtId="0" fontId="20" fillId="0" borderId="93" xfId="0" applyFont="1" applyBorder="1" applyAlignment="1">
      <alignment horizontal="center" wrapText="1"/>
    </xf>
    <xf numFmtId="0" fontId="15" fillId="0" borderId="96" xfId="0" applyFont="1" applyBorder="1" applyAlignment="1">
      <alignment horizontal="left" vertical="center" wrapText="1"/>
    </xf>
    <xf numFmtId="0" fontId="15" fillId="0" borderId="96" xfId="0" applyFont="1" applyBorder="1" applyAlignment="1">
      <alignment horizontal="center" wrapText="1"/>
    </xf>
    <xf numFmtId="0" fontId="15" fillId="0" borderId="97" xfId="0" applyFont="1" applyBorder="1" applyAlignment="1">
      <alignment horizontal="center" vertical="center" wrapText="1"/>
    </xf>
    <xf numFmtId="3" fontId="37" fillId="12" borderId="17" xfId="0" applyNumberFormat="1" applyFont="1" applyFill="1" applyBorder="1" applyAlignment="1">
      <alignment horizontal="center" vertical="center" wrapText="1"/>
    </xf>
    <xf numFmtId="0" fontId="16" fillId="0" borderId="98" xfId="0" applyFont="1" applyBorder="1" applyAlignment="1">
      <alignment vertical="center" wrapText="1"/>
    </xf>
    <xf numFmtId="9" fontId="16" fillId="0" borderId="98" xfId="0" applyNumberFormat="1" applyFont="1" applyBorder="1" applyAlignment="1">
      <alignment horizontal="center" vertical="center" wrapText="1"/>
    </xf>
    <xf numFmtId="0" fontId="16" fillId="0" borderId="99" xfId="0" applyFont="1" applyBorder="1" applyAlignment="1">
      <alignment horizontal="center" vertical="center" wrapText="1"/>
    </xf>
    <xf numFmtId="3" fontId="37" fillId="0" borderId="16" xfId="0" applyNumberFormat="1" applyFont="1" applyBorder="1" applyAlignment="1">
      <alignment horizontal="center" vertical="center" wrapText="1"/>
    </xf>
    <xf numFmtId="0" fontId="20" fillId="12" borderId="17" xfId="0" applyFont="1" applyFill="1" applyBorder="1" applyAlignment="1">
      <alignment vertical="center" wrapText="1"/>
    </xf>
    <xf numFmtId="0" fontId="18" fillId="12" borderId="98" xfId="0" applyFont="1" applyFill="1" applyBorder="1" applyAlignment="1">
      <alignment vertical="center" wrapText="1"/>
    </xf>
    <xf numFmtId="9" fontId="18" fillId="12" borderId="98" xfId="0" applyNumberFormat="1" applyFont="1" applyFill="1" applyBorder="1" applyAlignment="1">
      <alignment horizontal="center" vertical="center" wrapText="1"/>
    </xf>
    <xf numFmtId="0" fontId="18" fillId="12" borderId="99" xfId="0" applyFont="1" applyFill="1" applyBorder="1" applyAlignment="1">
      <alignment horizontal="center" vertical="center" wrapText="1"/>
    </xf>
    <xf numFmtId="0" fontId="47" fillId="0" borderId="100" xfId="0" applyFont="1" applyBorder="1" applyAlignment="1">
      <alignment vertical="center" wrapText="1"/>
    </xf>
    <xf numFmtId="165" fontId="47" fillId="0" borderId="100" xfId="0" applyNumberFormat="1" applyFont="1" applyBorder="1" applyAlignment="1">
      <alignment horizontal="center" vertical="center" wrapText="1"/>
    </xf>
    <xf numFmtId="0" fontId="47" fillId="0" borderId="101" xfId="0" applyFont="1" applyBorder="1" applyAlignment="1">
      <alignment horizontal="center" vertical="center" wrapText="1"/>
    </xf>
    <xf numFmtId="165" fontId="37" fillId="12" borderId="17" xfId="0" applyNumberFormat="1" applyFont="1" applyFill="1" applyBorder="1" applyAlignment="1">
      <alignment horizontal="center" vertical="center" wrapText="1"/>
    </xf>
    <xf numFmtId="165" fontId="37" fillId="0" borderId="16" xfId="0" applyNumberFormat="1" applyFont="1" applyBorder="1" applyAlignment="1">
      <alignment horizontal="center" vertical="center" wrapText="1"/>
    </xf>
    <xf numFmtId="165" fontId="37" fillId="0" borderId="102" xfId="0" applyNumberFormat="1" applyFont="1" applyBorder="1" applyAlignment="1">
      <alignment horizontal="center" vertical="center" wrapText="1"/>
    </xf>
    <xf numFmtId="0" fontId="18" fillId="19" borderId="98" xfId="0" applyFont="1" applyFill="1" applyBorder="1" applyAlignment="1">
      <alignment vertical="center" wrapText="1"/>
    </xf>
    <xf numFmtId="0" fontId="37" fillId="0" borderId="17" xfId="0" applyFont="1" applyBorder="1" applyAlignment="1">
      <alignment horizontal="center" vertical="center" wrapText="1"/>
    </xf>
    <xf numFmtId="9" fontId="37" fillId="0" borderId="102" xfId="0" applyNumberFormat="1" applyFont="1" applyBorder="1" applyAlignment="1">
      <alignment horizontal="center" vertical="center" wrapText="1"/>
    </xf>
    <xf numFmtId="9" fontId="37" fillId="12" borderId="82" xfId="1" applyFont="1" applyFill="1" applyBorder="1" applyAlignment="1">
      <alignment horizontal="center" vertical="center" wrapText="1"/>
    </xf>
    <xf numFmtId="0" fontId="15" fillId="0" borderId="94" xfId="0" applyFont="1" applyBorder="1" applyAlignment="1">
      <alignment horizontal="center" vertical="center" wrapText="1"/>
    </xf>
    <xf numFmtId="9" fontId="16" fillId="0" borderId="84" xfId="0" applyNumberFormat="1" applyFont="1" applyBorder="1" applyAlignment="1">
      <alignment horizontal="center" vertical="center" wrapText="1"/>
    </xf>
    <xf numFmtId="0" fontId="20" fillId="12" borderId="102" xfId="0" applyFont="1" applyFill="1" applyBorder="1" applyAlignment="1">
      <alignment vertical="center"/>
    </xf>
    <xf numFmtId="165" fontId="16" fillId="0" borderId="17" xfId="1" applyNumberFormat="1" applyFont="1" applyFill="1" applyBorder="1" applyAlignment="1">
      <alignment horizontal="center" vertical="center" wrapText="1"/>
    </xf>
    <xf numFmtId="165" fontId="16" fillId="0" borderId="17" xfId="1" applyNumberFormat="1" applyFont="1" applyBorder="1" applyAlignment="1">
      <alignment horizontal="center" vertical="center" wrapText="1"/>
    </xf>
    <xf numFmtId="9" fontId="18" fillId="12" borderId="17" xfId="0" applyNumberFormat="1" applyFont="1" applyFill="1" applyBorder="1" applyAlignment="1">
      <alignment horizontal="center" vertical="center" wrapText="1"/>
    </xf>
    <xf numFmtId="165" fontId="18" fillId="12" borderId="17" xfId="1" applyNumberFormat="1" applyFont="1" applyFill="1" applyBorder="1" applyAlignment="1">
      <alignment horizontal="center" vertical="center" wrapText="1"/>
    </xf>
    <xf numFmtId="0" fontId="56" fillId="0" borderId="0" xfId="0" applyFont="1" applyAlignment="1">
      <alignment horizontal="centerContinuous"/>
    </xf>
    <xf numFmtId="0" fontId="60" fillId="0" borderId="0" xfId="0" applyFont="1" applyAlignment="1">
      <alignment horizontal="centerContinuous"/>
    </xf>
    <xf numFmtId="0" fontId="59" fillId="0" borderId="0" xfId="0" applyFont="1" applyAlignment="1">
      <alignment horizontal="centerContinuous" vertical="center"/>
    </xf>
    <xf numFmtId="0" fontId="30" fillId="0" borderId="0" xfId="0" applyFont="1" applyAlignment="1">
      <alignment horizontal="centerContinuous" vertical="center"/>
    </xf>
    <xf numFmtId="0" fontId="23" fillId="0" borderId="0" xfId="0" applyFont="1" applyAlignment="1">
      <alignment horizontal="centerContinuous" vertical="center"/>
    </xf>
    <xf numFmtId="0" fontId="15" fillId="0" borderId="5" xfId="0" applyFont="1" applyBorder="1" applyAlignment="1">
      <alignment horizontal="center" vertical="center" wrapText="1"/>
    </xf>
    <xf numFmtId="0" fontId="43" fillId="3" borderId="7" xfId="3" applyFont="1" applyFill="1" applyBorder="1" applyAlignment="1">
      <alignment horizontal="left" indent="1"/>
    </xf>
    <xf numFmtId="0" fontId="35" fillId="0" borderId="26" xfId="0" applyFont="1" applyBorder="1" applyAlignment="1">
      <alignment horizontal="center" vertical="top" wrapText="1"/>
    </xf>
    <xf numFmtId="0" fontId="35" fillId="0" borderId="26" xfId="0" applyFont="1" applyBorder="1" applyAlignment="1">
      <alignment horizontal="center" vertical="center" wrapText="1"/>
    </xf>
    <xf numFmtId="0" fontId="35" fillId="0" borderId="25" xfId="0" applyFont="1" applyBorder="1" applyAlignment="1">
      <alignment horizontal="center" vertical="center" wrapText="1"/>
    </xf>
    <xf numFmtId="0" fontId="41" fillId="0" borderId="0" xfId="0" applyFont="1" applyAlignment="1">
      <alignment horizontal="center"/>
    </xf>
    <xf numFmtId="0" fontId="65" fillId="0" borderId="0" xfId="0" applyFont="1" applyAlignment="1">
      <alignment horizontal="center"/>
    </xf>
    <xf numFmtId="0" fontId="41" fillId="0" borderId="0" xfId="0" applyFont="1" applyAlignment="1">
      <alignment horizontal="center" vertical="center"/>
    </xf>
    <xf numFmtId="0" fontId="10" fillId="0" borderId="0" xfId="0" applyFont="1" applyAlignment="1">
      <alignment horizontal="center"/>
    </xf>
    <xf numFmtId="0" fontId="62" fillId="12" borderId="0" xfId="0" applyFont="1" applyFill="1" applyAlignment="1">
      <alignment horizontal="center" vertical="center" wrapText="1"/>
    </xf>
    <xf numFmtId="0" fontId="63" fillId="0" borderId="8" xfId="0" applyFont="1" applyBorder="1" applyAlignment="1">
      <alignment horizontal="center" vertical="center" wrapText="1"/>
    </xf>
    <xf numFmtId="0" fontId="64" fillId="0" borderId="0" xfId="0" applyFont="1"/>
    <xf numFmtId="0" fontId="53" fillId="0" borderId="0" xfId="0" applyFont="1"/>
    <xf numFmtId="0" fontId="52" fillId="0" borderId="0" xfId="0" applyFont="1"/>
    <xf numFmtId="0" fontId="59" fillId="0" borderId="0" xfId="0" applyFont="1" applyAlignment="1">
      <alignment horizontal="center" vertical="center" wrapText="1"/>
    </xf>
    <xf numFmtId="0" fontId="59" fillId="0" borderId="0" xfId="0" applyFont="1" applyAlignment="1">
      <alignment horizontal="center" vertical="center"/>
    </xf>
    <xf numFmtId="0" fontId="20" fillId="12" borderId="72" xfId="0" applyFont="1" applyFill="1" applyBorder="1" applyAlignment="1">
      <alignment horizontal="center" vertical="center"/>
    </xf>
    <xf numFmtId="0" fontId="15" fillId="0" borderId="15" xfId="0" applyFont="1" applyBorder="1" applyAlignment="1">
      <alignment horizontal="center" vertical="center" wrapText="1"/>
    </xf>
    <xf numFmtId="0" fontId="20" fillId="3" borderId="79" xfId="0" applyFont="1" applyFill="1" applyBorder="1" applyAlignment="1">
      <alignment horizontal="center" vertical="center" wrapText="1"/>
    </xf>
    <xf numFmtId="0" fontId="18" fillId="0" borderId="73" xfId="0" applyFont="1" applyBorder="1" applyAlignment="1">
      <alignment horizontal="center" vertical="center" textRotation="90" wrapText="1"/>
    </xf>
    <xf numFmtId="0" fontId="18" fillId="0" borderId="0" xfId="0" applyFont="1" applyAlignment="1">
      <alignment horizontal="center" vertical="center" textRotation="90" wrapText="1"/>
    </xf>
    <xf numFmtId="0" fontId="18" fillId="0" borderId="70" xfId="0" applyFont="1" applyBorder="1" applyAlignment="1">
      <alignment horizontal="center" vertical="center" textRotation="90" wrapText="1"/>
    </xf>
    <xf numFmtId="0" fontId="18" fillId="0" borderId="79" xfId="0" applyFont="1" applyBorder="1" applyAlignment="1">
      <alignment horizontal="center" vertical="center" textRotation="90" wrapText="1"/>
    </xf>
    <xf numFmtId="0" fontId="20" fillId="0" borderId="79" xfId="0" applyFont="1" applyBorder="1" applyAlignment="1">
      <alignment horizontal="center" vertical="center"/>
    </xf>
    <xf numFmtId="0" fontId="16" fillId="0" borderId="24" xfId="0" applyFont="1" applyBorder="1" applyAlignment="1">
      <alignment horizontal="center" vertical="center" textRotation="90" wrapText="1"/>
    </xf>
    <xf numFmtId="0" fontId="16" fillId="0" borderId="0" xfId="0" applyFont="1" applyAlignment="1">
      <alignment horizontal="center" vertical="center" textRotation="90" wrapText="1"/>
    </xf>
    <xf numFmtId="0" fontId="16" fillId="0" borderId="17" xfId="0" applyFont="1" applyBorder="1" applyAlignment="1">
      <alignment horizontal="center" vertical="center" textRotation="90" wrapText="1"/>
    </xf>
    <xf numFmtId="0" fontId="24" fillId="0" borderId="18" xfId="0" applyFont="1" applyBorder="1" applyAlignment="1">
      <alignment horizontal="center" vertical="center" textRotation="90" wrapText="1"/>
    </xf>
    <xf numFmtId="0" fontId="24" fillId="0" borderId="0" xfId="0" applyFont="1" applyAlignment="1">
      <alignment horizontal="center" vertical="center" textRotation="90" wrapText="1"/>
    </xf>
    <xf numFmtId="0" fontId="24" fillId="0" borderId="17" xfId="0" applyFont="1" applyBorder="1" applyAlignment="1">
      <alignment horizontal="center" vertical="center" textRotation="90" wrapText="1"/>
    </xf>
    <xf numFmtId="0" fontId="15" fillId="18" borderId="91" xfId="0" applyFont="1" applyFill="1" applyBorder="1" applyAlignment="1">
      <alignment horizontal="center" vertical="center" wrapText="1"/>
    </xf>
    <xf numFmtId="0" fontId="15" fillId="3" borderId="91" xfId="0" applyFont="1" applyFill="1" applyBorder="1" applyAlignment="1">
      <alignment horizontal="center" vertical="center" wrapText="1"/>
    </xf>
    <xf numFmtId="0" fontId="15" fillId="0" borderId="0" xfId="0" applyFont="1" applyAlignment="1">
      <alignment horizontal="left" vertical="center" wrapText="1"/>
    </xf>
    <xf numFmtId="0" fontId="15" fillId="0" borderId="70" xfId="0" applyFont="1" applyBorder="1" applyAlignment="1">
      <alignment horizontal="left" vertical="center" wrapText="1"/>
    </xf>
    <xf numFmtId="0" fontId="15" fillId="0" borderId="1" xfId="0" applyFont="1" applyBorder="1" applyAlignment="1">
      <alignment horizontal="center" vertical="center" wrapText="1"/>
    </xf>
    <xf numFmtId="0" fontId="2" fillId="12" borderId="89" xfId="0" applyFont="1" applyFill="1" applyBorder="1" applyAlignment="1">
      <alignment horizontal="center" vertical="center" wrapText="1"/>
    </xf>
    <xf numFmtId="0" fontId="14" fillId="0" borderId="0" xfId="0" applyFont="1" applyAlignment="1">
      <alignment horizontal="center" vertical="center"/>
    </xf>
    <xf numFmtId="0" fontId="16" fillId="0" borderId="0" xfId="0" applyFont="1" applyAlignment="1">
      <alignment horizontal="left" vertical="center" indent="1"/>
    </xf>
    <xf numFmtId="0" fontId="16" fillId="0" borderId="18" xfId="0" applyFont="1" applyBorder="1" applyAlignment="1">
      <alignment horizontal="center" vertical="center" textRotation="90" wrapText="1"/>
    </xf>
    <xf numFmtId="0" fontId="16" fillId="0" borderId="16" xfId="0" applyFont="1" applyBorder="1" applyAlignment="1">
      <alignment horizontal="center" vertical="center" textRotation="90" wrapText="1"/>
    </xf>
    <xf numFmtId="0" fontId="18" fillId="12" borderId="0" xfId="0" applyFont="1" applyFill="1" applyAlignment="1">
      <alignment vertical="center"/>
    </xf>
    <xf numFmtId="166" fontId="16" fillId="12" borderId="82" xfId="0" applyNumberFormat="1" applyFont="1" applyFill="1" applyBorder="1" applyAlignment="1">
      <alignment horizontal="center" vertical="center" wrapText="1"/>
    </xf>
    <xf numFmtId="0" fontId="15" fillId="13" borderId="0" xfId="0" applyFont="1" applyFill="1" applyAlignment="1">
      <alignment horizontal="center" vertical="center" wrapText="1"/>
    </xf>
    <xf numFmtId="166" fontId="16" fillId="0" borderId="20" xfId="0" applyNumberFormat="1" applyFont="1" applyBorder="1" applyAlignment="1">
      <alignment horizontal="center" vertical="center" wrapText="1"/>
    </xf>
    <xf numFmtId="0" fontId="18" fillId="12" borderId="0" xfId="0" applyFont="1" applyFill="1" applyAlignment="1">
      <alignment horizontal="left" vertical="center"/>
    </xf>
    <xf numFmtId="0" fontId="16" fillId="0" borderId="0" xfId="0" applyFont="1" applyAlignment="1">
      <alignment horizontal="center" vertical="center"/>
    </xf>
    <xf numFmtId="9" fontId="16" fillId="0" borderId="79" xfId="0" applyNumberFormat="1" applyFont="1" applyBorder="1" applyAlignment="1">
      <alignment horizontal="center" vertical="center" wrapText="1"/>
    </xf>
    <xf numFmtId="0" fontId="19" fillId="0" borderId="0" xfId="0" applyFont="1" applyAlignment="1">
      <alignment horizontal="center" vertical="center"/>
    </xf>
    <xf numFmtId="9" fontId="16" fillId="0" borderId="0" xfId="0" applyNumberFormat="1" applyFont="1" applyAlignment="1">
      <alignment vertical="center" wrapText="1"/>
    </xf>
    <xf numFmtId="165" fontId="37" fillId="0" borderId="102" xfId="0" applyNumberFormat="1" applyFont="1" applyBorder="1" applyAlignment="1">
      <alignment horizontal="center" vertical="center" wrapText="1"/>
    </xf>
    <xf numFmtId="0" fontId="16" fillId="0" borderId="55" xfId="0" applyFont="1" applyBorder="1" applyAlignment="1">
      <alignment horizontal="center" vertical="center" textRotation="90" wrapText="1"/>
    </xf>
    <xf numFmtId="0" fontId="16" fillId="0" borderId="52" xfId="0" applyFont="1" applyBorder="1" applyAlignment="1">
      <alignment horizontal="center" vertical="center" textRotation="90" wrapText="1"/>
    </xf>
    <xf numFmtId="0" fontId="16" fillId="0" borderId="53" xfId="0" applyFont="1" applyBorder="1" applyAlignment="1">
      <alignment horizontal="center" vertical="center" textRotation="90" wrapText="1"/>
    </xf>
    <xf numFmtId="0" fontId="16" fillId="0" borderId="54" xfId="0" applyFont="1" applyBorder="1" applyAlignment="1">
      <alignment horizontal="center" vertical="center" textRotation="90" wrapText="1"/>
    </xf>
    <xf numFmtId="0" fontId="20" fillId="12" borderId="102" xfId="0" applyFont="1" applyFill="1" applyBorder="1" applyAlignment="1">
      <alignment horizontal="center" vertical="center" wrapText="1"/>
    </xf>
    <xf numFmtId="0" fontId="49" fillId="0" borderId="0" xfId="0" applyFont="1" applyAlignment="1">
      <alignment vertical="center"/>
    </xf>
    <xf numFmtId="0" fontId="15" fillId="0" borderId="17" xfId="0" applyFont="1" applyBorder="1" applyAlignment="1">
      <alignment horizontal="center" vertical="center" wrapText="1"/>
    </xf>
    <xf numFmtId="0" fontId="0" fillId="0" borderId="0" xfId="0" applyAlignment="1">
      <alignment horizontal="center" vertical="top" wrapText="1"/>
    </xf>
    <xf numFmtId="0" fontId="15" fillId="0" borderId="0" xfId="0" applyFont="1" applyAlignment="1">
      <alignment horizontal="center" vertical="center" wrapText="1"/>
    </xf>
    <xf numFmtId="0" fontId="12" fillId="0" borderId="0" xfId="0" applyFont="1" applyAlignment="1">
      <alignment vertical="center"/>
    </xf>
    <xf numFmtId="0" fontId="11" fillId="0" borderId="0" xfId="0" applyFont="1" applyAlignment="1">
      <alignment vertical="center"/>
    </xf>
  </cellXfs>
  <cellStyles count="6">
    <cellStyle name="Hyperlink" xfId="3" builtinId="8"/>
    <cellStyle name="Normal" xfId="0" builtinId="0"/>
    <cellStyle name="Normal 2" xfId="2" xr:uid="{00000000-0005-0000-0000-000004000000}"/>
    <cellStyle name="Normal 3" xfId="4" xr:uid="{00000000-0005-0000-0000-000005000000}"/>
    <cellStyle name="Normal 5" xfId="5" xr:uid="{00000000-0005-0000-0000-000006000000}"/>
    <cellStyle name="Percent" xfId="1" builtinId="5"/>
  </cellStyles>
  <dxfs count="5">
    <dxf>
      <font>
        <color rgb="FF9C0006"/>
      </font>
      <fill>
        <patternFill>
          <bgColor rgb="FFFFC7CE"/>
        </patternFill>
      </fill>
    </dxf>
    <dxf>
      <font>
        <b/>
        <i val="0"/>
        <sz val="11"/>
        <color theme="0"/>
        <name val="Arial"/>
        <scheme val="none"/>
      </font>
      <fill>
        <patternFill>
          <bgColor rgb="FF002060"/>
        </patternFill>
      </fill>
      <border>
        <bottom style="medium">
          <color auto="1"/>
        </bottom>
        <vertical/>
        <horizontal/>
      </border>
    </dxf>
    <dxf>
      <font>
        <color theme="1"/>
      </font>
      <border>
        <left style="medium">
          <color auto="1"/>
        </left>
        <right style="medium">
          <color auto="1"/>
        </right>
        <top style="medium">
          <color auto="1"/>
        </top>
        <bottom style="medium">
          <color auto="1"/>
        </bottom>
        <vertical/>
        <horizontal/>
      </border>
    </dxf>
    <dxf>
      <font>
        <b/>
        <i val="0"/>
        <sz val="11"/>
        <color theme="0"/>
        <name val="Arial"/>
        <scheme val="none"/>
      </font>
      <fill>
        <patternFill patternType="solid">
          <bgColor rgb="FF002060"/>
        </patternFill>
      </fill>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border>
    </dxf>
  </dxfs>
  <tableStyles count="3" defaultTableStyle="TableStyleMedium2" defaultPivotStyle="PivotStyleLight16">
    <tableStyle name="Slicer Style 2" pivot="0" table="0" count="3" xr9:uid="{00000000-0011-0000-FFFF-FFFF00000000}">
      <tableStyleElement type="wholeTable" dxfId="4"/>
      <tableStyleElement type="headerRow" dxfId="3"/>
    </tableStyle>
    <tableStyle name="SlicerStyleDark5 2" pivot="0" table="0" count="10" xr9:uid="{00000000-0011-0000-FFFF-FFFF01000000}">
      <tableStyleElement type="wholeTable" dxfId="2"/>
      <tableStyleElement type="headerRow" dxfId="1"/>
    </tableStyle>
    <tableStyle name="Table Style 1" pivot="0" count="0" xr9:uid="{00000000-0011-0000-FFFF-FFFF02000000}"/>
  </tableStyles>
  <colors>
    <mruColors>
      <color rgb="FF0074AF"/>
      <color rgb="FFBF9000"/>
      <color rgb="FF004568"/>
      <color rgb="FF528286"/>
      <color rgb="FF3B6A80"/>
      <color rgb="FF1DCAD3"/>
      <color rgb="FF188C57"/>
      <color rgb="FF77D8DA"/>
      <color rgb="FF3B6980"/>
      <color rgb="FFC0C0C0"/>
    </mruColors>
  </colors>
  <extLst>
    <ext xmlns:x14="http://schemas.microsoft.com/office/spreadsheetml/2009/9/main" uri="{46F421CA-312F-682f-3DD2-61675219B42D}">
      <x14:dxfs count="9">
        <dxf>
          <font>
            <b/>
            <i val="0"/>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b/>
            <i val="0"/>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i val="0"/>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2">
          <x14:slicerStyleElements>
            <x14:slicerStyleElement type="selectedItemWithData" dxfId="8"/>
          </x14:slicerStyleElements>
        </x14:slicerStyle>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tx>
            <c:strRef>
              <c:f>'Pay Rates by Benchmark'!$V$21</c:f>
              <c:strCache>
                <c:ptCount val="1"/>
                <c:pt idx="0">
                  <c:v>Total of survey responses</c:v>
                </c:pt>
              </c:strCache>
            </c:strRef>
          </c:tx>
          <c:spPr>
            <a:solidFill>
              <a:schemeClr val="accent1"/>
            </a:solidFill>
          </c:spPr>
          <c:dPt>
            <c:idx val="0"/>
            <c:bubble3D val="0"/>
            <c:spPr>
              <a:solidFill>
                <a:srgbClr val="3B6A80"/>
              </a:solidFill>
              <a:ln w="19050">
                <a:solidFill>
                  <a:schemeClr val="lt1"/>
                </a:solidFill>
              </a:ln>
              <a:effectLst/>
            </c:spPr>
            <c:extLst>
              <c:ext xmlns:c16="http://schemas.microsoft.com/office/drawing/2014/chart" uri="{C3380CC4-5D6E-409C-BE32-E72D297353CC}">
                <c16:uniqueId val="{00000001-ED76-4CEA-9E6A-EC7D09F74820}"/>
              </c:ext>
            </c:extLst>
          </c:dPt>
          <c:dPt>
            <c:idx val="1"/>
            <c:bubble3D val="0"/>
            <c:spPr>
              <a:solidFill>
                <a:srgbClr val="1DCAD3"/>
              </a:solidFill>
              <a:ln w="19050">
                <a:solidFill>
                  <a:schemeClr val="lt1"/>
                </a:solidFill>
              </a:ln>
              <a:effectLst/>
            </c:spPr>
            <c:extLst>
              <c:ext xmlns:c16="http://schemas.microsoft.com/office/drawing/2014/chart" uri="{C3380CC4-5D6E-409C-BE32-E72D297353CC}">
                <c16:uniqueId val="{00000003-ED76-4CEA-9E6A-EC7D09F74820}"/>
              </c:ext>
            </c:extLst>
          </c:dPt>
          <c:dPt>
            <c:idx val="2"/>
            <c:bubble3D val="0"/>
            <c:spPr>
              <a:solidFill>
                <a:srgbClr val="188C57"/>
              </a:solidFill>
              <a:ln w="19050">
                <a:solidFill>
                  <a:schemeClr val="lt1"/>
                </a:solidFill>
              </a:ln>
              <a:effectLst/>
            </c:spPr>
            <c:extLst>
              <c:ext xmlns:c16="http://schemas.microsoft.com/office/drawing/2014/chart" uri="{C3380CC4-5D6E-409C-BE32-E72D297353CC}">
                <c16:uniqueId val="{00000005-ED76-4CEA-9E6A-EC7D09F74820}"/>
              </c:ext>
            </c:extLst>
          </c:dPt>
          <c:dLbls>
            <c:dLbl>
              <c:idx val="1"/>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3-ED76-4CEA-9E6A-EC7D09F74820}"/>
                </c:ext>
              </c:extLst>
            </c:dLbl>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 Rates by Benchmark'!$AA$20:$AC$20</c:f>
              <c:strCache>
                <c:ptCount val="3"/>
                <c:pt idx="0">
                  <c:v>Employer Cost</c:v>
                </c:pt>
                <c:pt idx="1">
                  <c:v>Employee Contributions</c:v>
                </c:pt>
                <c:pt idx="2">
                  <c:v>Employee OOP Costs</c:v>
                </c:pt>
              </c:strCache>
            </c:strRef>
          </c:cat>
          <c:val>
            <c:numRef>
              <c:f>'Pay Rates by Benchmark'!$AA$21:$AC$21</c:f>
              <c:numCache>
                <c:formatCode>0%</c:formatCode>
                <c:ptCount val="3"/>
                <c:pt idx="0">
                  <c:v>0.67</c:v>
                </c:pt>
                <c:pt idx="1">
                  <c:v>0.18</c:v>
                </c:pt>
                <c:pt idx="2">
                  <c:v>0.15</c:v>
                </c:pt>
              </c:numCache>
            </c:numRef>
          </c:val>
          <c:extLst>
            <c:ext xmlns:c16="http://schemas.microsoft.com/office/drawing/2014/chart" uri="{C3380CC4-5D6E-409C-BE32-E72D297353CC}">
              <c16:uniqueId val="{00000006-ED76-4CEA-9E6A-EC7D09F7482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tx>
            <c:strRef>
              <c:f>'Pay Rates by Benchmark'!$V$22</c:f>
              <c:strCache>
                <c:ptCount val="1"/>
                <c:pt idx="0">
                  <c:v>In-state public employers and government</c:v>
                </c:pt>
              </c:strCache>
            </c:strRef>
          </c:tx>
          <c:dPt>
            <c:idx val="0"/>
            <c:bubble3D val="0"/>
            <c:spPr>
              <a:solidFill>
                <a:srgbClr val="3B6A80"/>
              </a:solidFill>
              <a:ln w="19050">
                <a:solidFill>
                  <a:schemeClr val="lt1"/>
                </a:solidFill>
              </a:ln>
              <a:effectLst/>
            </c:spPr>
            <c:extLst>
              <c:ext xmlns:c16="http://schemas.microsoft.com/office/drawing/2014/chart" uri="{C3380CC4-5D6E-409C-BE32-E72D297353CC}">
                <c16:uniqueId val="{00000001-4022-4ED2-B974-6EE7BDEC8573}"/>
              </c:ext>
            </c:extLst>
          </c:dPt>
          <c:dPt>
            <c:idx val="1"/>
            <c:bubble3D val="0"/>
            <c:spPr>
              <a:solidFill>
                <a:srgbClr val="1DCAD3"/>
              </a:solidFill>
              <a:ln w="19050">
                <a:solidFill>
                  <a:schemeClr val="lt1"/>
                </a:solidFill>
              </a:ln>
              <a:effectLst/>
            </c:spPr>
            <c:extLst>
              <c:ext xmlns:c16="http://schemas.microsoft.com/office/drawing/2014/chart" uri="{C3380CC4-5D6E-409C-BE32-E72D297353CC}">
                <c16:uniqueId val="{00000003-4022-4ED2-B974-6EE7BDEC8573}"/>
              </c:ext>
            </c:extLst>
          </c:dPt>
          <c:dPt>
            <c:idx val="2"/>
            <c:bubble3D val="0"/>
            <c:spPr>
              <a:solidFill>
                <a:srgbClr val="188C57"/>
              </a:solidFill>
              <a:ln w="19050">
                <a:solidFill>
                  <a:schemeClr val="lt1"/>
                </a:solidFill>
              </a:ln>
              <a:effectLst/>
            </c:spPr>
            <c:extLst>
              <c:ext xmlns:c16="http://schemas.microsoft.com/office/drawing/2014/chart" uri="{C3380CC4-5D6E-409C-BE32-E72D297353CC}">
                <c16:uniqueId val="{00000005-4022-4ED2-B974-6EE7BDEC8573}"/>
              </c:ext>
            </c:extLst>
          </c:dPt>
          <c:dLbls>
            <c:dLbl>
              <c:idx val="1"/>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3-4022-4ED2-B974-6EE7BDEC857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 Rates by Benchmark'!$AA$20:$AC$20</c:f>
              <c:strCache>
                <c:ptCount val="3"/>
                <c:pt idx="0">
                  <c:v>Employer Cost</c:v>
                </c:pt>
                <c:pt idx="1">
                  <c:v>Employee Contributions</c:v>
                </c:pt>
                <c:pt idx="2">
                  <c:v>Employee OOP Costs</c:v>
                </c:pt>
              </c:strCache>
            </c:strRef>
          </c:cat>
          <c:val>
            <c:numRef>
              <c:f>'Pay Rates by Benchmark'!$AA$22:$AC$22</c:f>
              <c:numCache>
                <c:formatCode>0%</c:formatCode>
                <c:ptCount val="3"/>
                <c:pt idx="0">
                  <c:v>0.71</c:v>
                </c:pt>
                <c:pt idx="1">
                  <c:v>0.18</c:v>
                </c:pt>
                <c:pt idx="2">
                  <c:v>0.11</c:v>
                </c:pt>
              </c:numCache>
            </c:numRef>
          </c:val>
          <c:extLst>
            <c:ext xmlns:c16="http://schemas.microsoft.com/office/drawing/2014/chart" uri="{C3380CC4-5D6E-409C-BE32-E72D297353CC}">
              <c16:uniqueId val="{00000006-4022-4ED2-B974-6EE7BDEC857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tx>
            <c:strRef>
              <c:f>'Pay Rates by Benchmark'!$V$23</c:f>
              <c:strCache>
                <c:ptCount val="1"/>
                <c:pt idx="0">
                  <c:v>In-state private sector</c:v>
                </c:pt>
              </c:strCache>
            </c:strRef>
          </c:tx>
          <c:dPt>
            <c:idx val="0"/>
            <c:bubble3D val="0"/>
            <c:spPr>
              <a:solidFill>
                <a:srgbClr val="3B6A80"/>
              </a:solidFill>
              <a:ln w="19050">
                <a:solidFill>
                  <a:schemeClr val="lt1"/>
                </a:solidFill>
              </a:ln>
              <a:effectLst/>
            </c:spPr>
            <c:extLst>
              <c:ext xmlns:c16="http://schemas.microsoft.com/office/drawing/2014/chart" uri="{C3380CC4-5D6E-409C-BE32-E72D297353CC}">
                <c16:uniqueId val="{00000001-9AC1-473F-ACD2-8D018D63EC1A}"/>
              </c:ext>
            </c:extLst>
          </c:dPt>
          <c:dPt>
            <c:idx val="1"/>
            <c:bubble3D val="0"/>
            <c:spPr>
              <a:solidFill>
                <a:srgbClr val="1DCAD3"/>
              </a:solidFill>
              <a:ln w="19050">
                <a:solidFill>
                  <a:schemeClr val="lt1"/>
                </a:solidFill>
              </a:ln>
              <a:effectLst/>
            </c:spPr>
            <c:extLst>
              <c:ext xmlns:c16="http://schemas.microsoft.com/office/drawing/2014/chart" uri="{C3380CC4-5D6E-409C-BE32-E72D297353CC}">
                <c16:uniqueId val="{00000003-9AC1-473F-ACD2-8D018D63EC1A}"/>
              </c:ext>
            </c:extLst>
          </c:dPt>
          <c:dPt>
            <c:idx val="2"/>
            <c:bubble3D val="0"/>
            <c:spPr>
              <a:solidFill>
                <a:srgbClr val="188C57"/>
              </a:solidFill>
              <a:ln w="19050">
                <a:solidFill>
                  <a:schemeClr val="lt1"/>
                </a:solidFill>
              </a:ln>
              <a:effectLst/>
            </c:spPr>
            <c:extLst>
              <c:ext xmlns:c16="http://schemas.microsoft.com/office/drawing/2014/chart" uri="{C3380CC4-5D6E-409C-BE32-E72D297353CC}">
                <c16:uniqueId val="{00000005-9AC1-473F-ACD2-8D018D63EC1A}"/>
              </c:ext>
            </c:extLst>
          </c:dPt>
          <c:dLbls>
            <c:dLbl>
              <c:idx val="1"/>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3-9AC1-473F-ACD2-8D018D63EC1A}"/>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 Rates by Benchmark'!$AA$20:$AC$20</c:f>
              <c:strCache>
                <c:ptCount val="3"/>
                <c:pt idx="0">
                  <c:v>Employer Cost</c:v>
                </c:pt>
                <c:pt idx="1">
                  <c:v>Employee Contributions</c:v>
                </c:pt>
                <c:pt idx="2">
                  <c:v>Employee OOP Costs</c:v>
                </c:pt>
              </c:strCache>
            </c:strRef>
          </c:cat>
          <c:val>
            <c:numRef>
              <c:f>'Pay Rates by Benchmark'!$AA$23:$AC$23</c:f>
              <c:numCache>
                <c:formatCode>0%</c:formatCode>
                <c:ptCount val="3"/>
                <c:pt idx="0">
                  <c:v>0.73</c:v>
                </c:pt>
                <c:pt idx="1">
                  <c:v>0.13</c:v>
                </c:pt>
                <c:pt idx="2">
                  <c:v>0.14000000000000001</c:v>
                </c:pt>
              </c:numCache>
            </c:numRef>
          </c:val>
          <c:extLst>
            <c:ext xmlns:c16="http://schemas.microsoft.com/office/drawing/2014/chart" uri="{C3380CC4-5D6E-409C-BE32-E72D297353CC}">
              <c16:uniqueId val="{00000006-9AC1-473F-ACD2-8D018D63EC1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tx>
            <c:strRef>
              <c:f>'Pay Rates by Benchmark'!$V$24</c:f>
              <c:strCache>
                <c:ptCount val="1"/>
                <c:pt idx="0">
                  <c:v>State employee health care plan</c:v>
                </c:pt>
              </c:strCache>
            </c:strRef>
          </c:tx>
          <c:dPt>
            <c:idx val="0"/>
            <c:bubble3D val="0"/>
            <c:spPr>
              <a:solidFill>
                <a:srgbClr val="3B6A80"/>
              </a:solidFill>
              <a:ln w="19050">
                <a:solidFill>
                  <a:schemeClr val="lt1"/>
                </a:solidFill>
              </a:ln>
              <a:effectLst/>
            </c:spPr>
            <c:extLst>
              <c:ext xmlns:c16="http://schemas.microsoft.com/office/drawing/2014/chart" uri="{C3380CC4-5D6E-409C-BE32-E72D297353CC}">
                <c16:uniqueId val="{00000001-E01D-4155-BC3D-7EAB55B4D5F3}"/>
              </c:ext>
            </c:extLst>
          </c:dPt>
          <c:dPt>
            <c:idx val="1"/>
            <c:bubble3D val="0"/>
            <c:spPr>
              <a:solidFill>
                <a:srgbClr val="1DCAD3"/>
              </a:solidFill>
              <a:ln w="19050">
                <a:solidFill>
                  <a:schemeClr val="lt1"/>
                </a:solidFill>
              </a:ln>
              <a:effectLst/>
            </c:spPr>
            <c:extLst>
              <c:ext xmlns:c16="http://schemas.microsoft.com/office/drawing/2014/chart" uri="{C3380CC4-5D6E-409C-BE32-E72D297353CC}">
                <c16:uniqueId val="{00000003-E01D-4155-BC3D-7EAB55B4D5F3}"/>
              </c:ext>
            </c:extLst>
          </c:dPt>
          <c:dPt>
            <c:idx val="2"/>
            <c:bubble3D val="0"/>
            <c:spPr>
              <a:solidFill>
                <a:srgbClr val="188C57"/>
              </a:solidFill>
              <a:ln w="19050">
                <a:solidFill>
                  <a:schemeClr val="lt1"/>
                </a:solidFill>
              </a:ln>
              <a:effectLst/>
            </c:spPr>
            <c:extLst>
              <c:ext xmlns:c16="http://schemas.microsoft.com/office/drawing/2014/chart" uri="{C3380CC4-5D6E-409C-BE32-E72D297353CC}">
                <c16:uniqueId val="{00000005-E01D-4155-BC3D-7EAB55B4D5F3}"/>
              </c:ext>
            </c:extLst>
          </c:dPt>
          <c:dLbls>
            <c:dLbl>
              <c:idx val="1"/>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3-E01D-4155-BC3D-7EAB55B4D5F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'Pay Rates by Benchmark'!$AA$20:$AC$20</c:f>
              <c:strCache>
                <c:ptCount val="3"/>
                <c:pt idx="0">
                  <c:v>Employer Cost</c:v>
                </c:pt>
                <c:pt idx="1">
                  <c:v>Employee Contributions</c:v>
                </c:pt>
                <c:pt idx="2">
                  <c:v>Employee OOP Costs</c:v>
                </c:pt>
              </c:strCache>
            </c:strRef>
          </c:cat>
          <c:val>
            <c:numRef>
              <c:f>'Pay Rates by Benchmark'!$AA$24:$AC$24</c:f>
              <c:numCache>
                <c:formatCode>0%</c:formatCode>
                <c:ptCount val="3"/>
                <c:pt idx="0">
                  <c:v>0.78</c:v>
                </c:pt>
                <c:pt idx="1">
                  <c:v>0.14000000000000001</c:v>
                </c:pt>
                <c:pt idx="2">
                  <c:v>0.08</c:v>
                </c:pt>
              </c:numCache>
            </c:numRef>
          </c:val>
          <c:extLst>
            <c:ext xmlns:c16="http://schemas.microsoft.com/office/drawing/2014/chart" uri="{C3380CC4-5D6E-409C-BE32-E72D297353CC}">
              <c16:uniqueId val="{00000006-E01D-4155-BC3D-7EAB55B4D5F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'Pay Rates by Benchmark'!$O$24</c:f>
              <c:strCache>
                <c:ptCount val="1"/>
                <c:pt idx="0">
                  <c:v>Total Compensation vs. Market</c:v>
                </c:pt>
              </c:strCache>
            </c:strRef>
          </c:tx>
          <c:spPr>
            <a:solidFill>
              <a:srgbClr val="3B6A80"/>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Benchmark'!$N$25:$N$28</c:f>
              <c:strCache>
                <c:ptCount val="4"/>
                <c:pt idx="0">
                  <c:v>Significantly behind the market by 25-50%</c:v>
                </c:pt>
                <c:pt idx="1">
                  <c:v>Slightly behind the market by 0-25%</c:v>
                </c:pt>
                <c:pt idx="2">
                  <c:v>Slightly ahead of the market by 0-25%</c:v>
                </c:pt>
                <c:pt idx="3">
                  <c:v>Significantly ahead of the market by 25-50%</c:v>
                </c:pt>
              </c:strCache>
            </c:strRef>
          </c:cat>
          <c:val>
            <c:numRef>
              <c:f>'Pay Rates by Benchmark'!$O$25:$O$28</c:f>
              <c:numCache>
                <c:formatCode>#,##0</c:formatCode>
                <c:ptCount val="4"/>
                <c:pt idx="0">
                  <c:v>9320</c:v>
                </c:pt>
                <c:pt idx="1">
                  <c:v>33684</c:v>
                </c:pt>
                <c:pt idx="2">
                  <c:v>4523</c:v>
                </c:pt>
                <c:pt idx="3">
                  <c:v>0</c:v>
                </c:pt>
              </c:numCache>
            </c:numRef>
          </c:val>
          <c:extLst>
            <c:ext xmlns:c16="http://schemas.microsoft.com/office/drawing/2014/chart" uri="{C3380CC4-5D6E-409C-BE32-E72D297353CC}">
              <c16:uniqueId val="{00000000-7114-46AB-852B-BBC8FCE8BBD5}"/>
            </c:ext>
          </c:extLst>
        </c:ser>
        <c:ser>
          <c:idx val="1"/>
          <c:order val="1"/>
          <c:tx>
            <c:strRef>
              <c:f>'Pay Rates by Benchmark'!$P$24</c:f>
              <c:strCache>
                <c:ptCount val="1"/>
                <c:pt idx="0">
                  <c:v>Midpoint vs. Market</c:v>
                </c:pt>
              </c:strCache>
            </c:strRef>
          </c:tx>
          <c:spPr>
            <a:solidFill>
              <a:srgbClr val="1DCAD3"/>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Benchmark'!$N$25:$N$28</c:f>
              <c:strCache>
                <c:ptCount val="4"/>
                <c:pt idx="0">
                  <c:v>Significantly behind the market by 25-50%</c:v>
                </c:pt>
                <c:pt idx="1">
                  <c:v>Slightly behind the market by 0-25%</c:v>
                </c:pt>
                <c:pt idx="2">
                  <c:v>Slightly ahead of the market by 0-25%</c:v>
                </c:pt>
                <c:pt idx="3">
                  <c:v>Significantly ahead of the market by 25-50%</c:v>
                </c:pt>
              </c:strCache>
            </c:strRef>
          </c:cat>
          <c:val>
            <c:numRef>
              <c:f>'Pay Rates by Benchmark'!$P$25:$P$28</c:f>
              <c:numCache>
                <c:formatCode>#,##0</c:formatCode>
                <c:ptCount val="4"/>
                <c:pt idx="0">
                  <c:v>13850</c:v>
                </c:pt>
                <c:pt idx="1">
                  <c:v>29402</c:v>
                </c:pt>
                <c:pt idx="2">
                  <c:v>4275</c:v>
                </c:pt>
                <c:pt idx="3">
                  <c:v>0</c:v>
                </c:pt>
              </c:numCache>
            </c:numRef>
          </c:val>
          <c:extLst>
            <c:ext xmlns:c16="http://schemas.microsoft.com/office/drawing/2014/chart" uri="{C3380CC4-5D6E-409C-BE32-E72D297353CC}">
              <c16:uniqueId val="{00000001-7114-46AB-852B-BBC8FCE8BBD5}"/>
            </c:ext>
          </c:extLst>
        </c:ser>
        <c:dLbls>
          <c:showLegendKey val="0"/>
          <c:showVal val="0"/>
          <c:showCatName val="0"/>
          <c:showSerName val="0"/>
          <c:showPercent val="0"/>
          <c:showBubbleSize val="0"/>
        </c:dLbls>
        <c:gapWidth val="150"/>
        <c:overlap val="-20"/>
        <c:axId val="1513711887"/>
        <c:axId val="1513709807"/>
      </c:barChart>
      <c:catAx>
        <c:axId val="151371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13709807"/>
        <c:crosses val="autoZero"/>
        <c:auto val="1"/>
        <c:lblAlgn val="ctr"/>
        <c:lblOffset val="100"/>
        <c:noMultiLvlLbl val="0"/>
      </c:catAx>
      <c:valAx>
        <c:axId val="1513709807"/>
        <c:scaling>
          <c:orientation val="minMax"/>
        </c:scaling>
        <c:delete val="1"/>
        <c:axPos val="l"/>
        <c:numFmt formatCode="#,##0" sourceLinked="1"/>
        <c:majorTickMark val="none"/>
        <c:minorTickMark val="none"/>
        <c:tickLblPos val="nextTo"/>
        <c:crossAx val="1513711887"/>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'Pay Rates by Benchmark'!$O$24</c:f>
              <c:strCache>
                <c:ptCount val="1"/>
                <c:pt idx="0">
                  <c:v>Total Compensation vs. Market</c:v>
                </c:pt>
              </c:strCache>
            </c:strRef>
          </c:tx>
          <c:spPr>
            <a:solidFill>
              <a:srgbClr val="3B6A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Benchmark'!$N$56:$N$59</c:f>
              <c:strCache>
                <c:ptCount val="4"/>
                <c:pt idx="0">
                  <c:v>Significantly behind the market by 25-50%</c:v>
                </c:pt>
                <c:pt idx="1">
                  <c:v>Slightly behind the market by 0-25%</c:v>
                </c:pt>
                <c:pt idx="2">
                  <c:v>Slightly ahead of the market by 0-25%</c:v>
                </c:pt>
                <c:pt idx="3">
                  <c:v>Significantly ahead of the market by 25-50%</c:v>
                </c:pt>
              </c:strCache>
            </c:strRef>
          </c:cat>
          <c:val>
            <c:numRef>
              <c:f>'Pay Rates by Benchmark'!$O$56:$O$59</c:f>
              <c:numCache>
                <c:formatCode>#,##0</c:formatCode>
                <c:ptCount val="4"/>
                <c:pt idx="0">
                  <c:v>30</c:v>
                </c:pt>
                <c:pt idx="1">
                  <c:v>137</c:v>
                </c:pt>
                <c:pt idx="2">
                  <c:v>14</c:v>
                </c:pt>
                <c:pt idx="3">
                  <c:v>0</c:v>
                </c:pt>
              </c:numCache>
            </c:numRef>
          </c:val>
          <c:extLst>
            <c:ext xmlns:c16="http://schemas.microsoft.com/office/drawing/2014/chart" uri="{C3380CC4-5D6E-409C-BE32-E72D297353CC}">
              <c16:uniqueId val="{00000000-4B9D-4AAB-B3C1-B03C17D40B8A}"/>
            </c:ext>
          </c:extLst>
        </c:ser>
        <c:ser>
          <c:idx val="1"/>
          <c:order val="1"/>
          <c:tx>
            <c:strRef>
              <c:f>'Pay Rates by Benchmark'!$P$24</c:f>
              <c:strCache>
                <c:ptCount val="1"/>
                <c:pt idx="0">
                  <c:v>Midpoint vs. Market</c:v>
                </c:pt>
              </c:strCache>
            </c:strRef>
          </c:tx>
          <c:spPr>
            <a:solidFill>
              <a:srgbClr val="1DCAD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Benchmark'!$N$56:$N$59</c:f>
              <c:strCache>
                <c:ptCount val="4"/>
                <c:pt idx="0">
                  <c:v>Significantly behind the market by 25-50%</c:v>
                </c:pt>
                <c:pt idx="1">
                  <c:v>Slightly behind the market by 0-25%</c:v>
                </c:pt>
                <c:pt idx="2">
                  <c:v>Slightly ahead of the market by 0-25%</c:v>
                </c:pt>
                <c:pt idx="3">
                  <c:v>Significantly ahead of the market by 25-50%</c:v>
                </c:pt>
              </c:strCache>
            </c:strRef>
          </c:cat>
          <c:val>
            <c:numRef>
              <c:f>'Pay Rates by Benchmark'!$P$56:$P$59</c:f>
              <c:numCache>
                <c:formatCode>#,##0</c:formatCode>
                <c:ptCount val="4"/>
                <c:pt idx="0">
                  <c:v>52</c:v>
                </c:pt>
                <c:pt idx="1">
                  <c:v>115</c:v>
                </c:pt>
                <c:pt idx="2">
                  <c:v>14</c:v>
                </c:pt>
                <c:pt idx="3">
                  <c:v>0</c:v>
                </c:pt>
              </c:numCache>
            </c:numRef>
          </c:val>
          <c:extLst>
            <c:ext xmlns:c16="http://schemas.microsoft.com/office/drawing/2014/chart" uri="{C3380CC4-5D6E-409C-BE32-E72D297353CC}">
              <c16:uniqueId val="{00000001-4B9D-4AAB-B3C1-B03C17D40B8A}"/>
            </c:ext>
          </c:extLst>
        </c:ser>
        <c:dLbls>
          <c:showLegendKey val="0"/>
          <c:showVal val="0"/>
          <c:showCatName val="0"/>
          <c:showSerName val="0"/>
          <c:showPercent val="0"/>
          <c:showBubbleSize val="0"/>
        </c:dLbls>
        <c:gapWidth val="150"/>
        <c:overlap val="-20"/>
        <c:axId val="1513711887"/>
        <c:axId val="1513709807"/>
      </c:barChart>
      <c:catAx>
        <c:axId val="151371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13709807"/>
        <c:crosses val="autoZero"/>
        <c:auto val="1"/>
        <c:lblAlgn val="ctr"/>
        <c:lblOffset val="100"/>
        <c:noMultiLvlLbl val="0"/>
      </c:catAx>
      <c:valAx>
        <c:axId val="1513709807"/>
        <c:scaling>
          <c:orientation val="minMax"/>
        </c:scaling>
        <c:delete val="1"/>
        <c:axPos val="l"/>
        <c:numFmt formatCode="#,##0" sourceLinked="1"/>
        <c:majorTickMark val="none"/>
        <c:minorTickMark val="none"/>
        <c:tickLblPos val="nextTo"/>
        <c:crossAx val="1513711887"/>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'Pay Rates by Benchmark'!$AC$52</c:f>
              <c:strCache>
                <c:ptCount val="1"/>
                <c:pt idx="0">
                  <c:v>All the groups combined</c:v>
                </c:pt>
              </c:strCache>
            </c:strRef>
          </c:tx>
          <c:spPr>
            <a:solidFill>
              <a:srgbClr val="188C57"/>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Benchmark'!$W$53:$Y$55</c:f>
              <c:strCache>
                <c:ptCount val="3"/>
                <c:pt idx="0">
                  <c:v>Single employee</c:v>
                </c:pt>
                <c:pt idx="1">
                  <c:v>Employee sharing family plan with a spouse/children (dependent)</c:v>
                </c:pt>
                <c:pt idx="2">
                  <c:v>Overall comparison against market</c:v>
                </c:pt>
              </c:strCache>
            </c:strRef>
          </c:cat>
          <c:val>
            <c:numRef>
              <c:f>'Pay Rates by Benchmark'!$AC$53:$AC$55</c:f>
              <c:numCache>
                <c:formatCode>0%</c:formatCode>
                <c:ptCount val="3"/>
                <c:pt idx="0">
                  <c:v>0.19</c:v>
                </c:pt>
                <c:pt idx="1">
                  <c:v>0.28000000000000003</c:v>
                </c:pt>
                <c:pt idx="2">
                  <c:v>0.22</c:v>
                </c:pt>
              </c:numCache>
            </c:numRef>
          </c:val>
          <c:extLst>
            <c:ext xmlns:c16="http://schemas.microsoft.com/office/drawing/2014/chart" uri="{C3380CC4-5D6E-409C-BE32-E72D297353CC}">
              <c16:uniqueId val="{00000000-6201-4386-BA02-B48A7B03FABC}"/>
            </c:ext>
          </c:extLst>
        </c:ser>
        <c:ser>
          <c:idx val="1"/>
          <c:order val="1"/>
          <c:tx>
            <c:strRef>
              <c:f>'Pay Rates by Benchmark'!$AD$52</c:f>
              <c:strCache>
                <c:ptCount val="1"/>
                <c:pt idx="0">
                  <c:v>Government / public sector / education</c:v>
                </c:pt>
              </c:strCache>
            </c:strRef>
          </c:tx>
          <c:spPr>
            <a:solidFill>
              <a:srgbClr val="25B396"/>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Benchmark'!$W$53:$Y$55</c:f>
              <c:strCache>
                <c:ptCount val="3"/>
                <c:pt idx="0">
                  <c:v>Single employee</c:v>
                </c:pt>
                <c:pt idx="1">
                  <c:v>Employee sharing family plan with a spouse/children (dependent)</c:v>
                </c:pt>
                <c:pt idx="2">
                  <c:v>Overall comparison against market</c:v>
                </c:pt>
              </c:strCache>
            </c:strRef>
          </c:cat>
          <c:val>
            <c:numRef>
              <c:f>'Pay Rates by Benchmark'!$AD$53:$AD$55</c:f>
              <c:numCache>
                <c:formatCode>0%</c:formatCode>
                <c:ptCount val="3"/>
                <c:pt idx="0">
                  <c:v>0.15</c:v>
                </c:pt>
                <c:pt idx="1">
                  <c:v>0.28999999999999998</c:v>
                </c:pt>
                <c:pt idx="2">
                  <c:v>0.19</c:v>
                </c:pt>
              </c:numCache>
            </c:numRef>
          </c:val>
          <c:extLst>
            <c:ext xmlns:c16="http://schemas.microsoft.com/office/drawing/2014/chart" uri="{C3380CC4-5D6E-409C-BE32-E72D297353CC}">
              <c16:uniqueId val="{00000001-6201-4386-BA02-B48A7B03FABC}"/>
            </c:ext>
          </c:extLst>
        </c:ser>
        <c:ser>
          <c:idx val="2"/>
          <c:order val="2"/>
          <c:tx>
            <c:strRef>
              <c:f>'Pay Rates by Benchmark'!$AE$52</c:f>
              <c:strCache>
                <c:ptCount val="1"/>
                <c:pt idx="0">
                  <c:v>Private sector</c:v>
                </c:pt>
              </c:strCache>
            </c:strRef>
          </c:tx>
          <c:spPr>
            <a:solidFill>
              <a:srgbClr val="1DCAD3"/>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Benchmark'!$W$53:$Y$55</c:f>
              <c:strCache>
                <c:ptCount val="3"/>
                <c:pt idx="0">
                  <c:v>Single employee</c:v>
                </c:pt>
                <c:pt idx="1">
                  <c:v>Employee sharing family plan with a spouse/children (dependent)</c:v>
                </c:pt>
                <c:pt idx="2">
                  <c:v>Overall comparison against market</c:v>
                </c:pt>
              </c:strCache>
            </c:strRef>
          </c:cat>
          <c:val>
            <c:numRef>
              <c:f>'Pay Rates by Benchmark'!$AE$53:$AE$55</c:f>
              <c:numCache>
                <c:formatCode>0%</c:formatCode>
                <c:ptCount val="3"/>
                <c:pt idx="0">
                  <c:v>0.12</c:v>
                </c:pt>
                <c:pt idx="1">
                  <c:v>0.35</c:v>
                </c:pt>
                <c:pt idx="2">
                  <c:v>0.18</c:v>
                </c:pt>
              </c:numCache>
            </c:numRef>
          </c:val>
          <c:extLst>
            <c:ext xmlns:c16="http://schemas.microsoft.com/office/drawing/2014/chart" uri="{C3380CC4-5D6E-409C-BE32-E72D297353CC}">
              <c16:uniqueId val="{00000002-6201-4386-BA02-B48A7B03FABC}"/>
            </c:ext>
          </c:extLst>
        </c:ser>
        <c:ser>
          <c:idx val="3"/>
          <c:order val="3"/>
          <c:tx>
            <c:strRef>
              <c:f>'Pay Rates by Benchmark'!$AF$52</c:f>
              <c:strCache>
                <c:ptCount val="1"/>
                <c:pt idx="0">
                  <c:v>State employee health care coverage</c:v>
                </c:pt>
              </c:strCache>
            </c:strRef>
          </c:tx>
          <c:spPr>
            <a:solidFill>
              <a:srgbClr val="3B6A80"/>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Rates by Benchmark'!$W$53:$Y$55</c:f>
              <c:strCache>
                <c:ptCount val="3"/>
                <c:pt idx="0">
                  <c:v>Single employee</c:v>
                </c:pt>
                <c:pt idx="1">
                  <c:v>Employee sharing family plan with a spouse/children (dependent)</c:v>
                </c:pt>
                <c:pt idx="2">
                  <c:v>Overall comparison against market</c:v>
                </c:pt>
              </c:strCache>
            </c:strRef>
          </c:cat>
          <c:val>
            <c:numRef>
              <c:f>'Pay Rates by Benchmark'!$AF$53:$AF$55</c:f>
              <c:numCache>
                <c:formatCode>0%</c:formatCode>
                <c:ptCount val="3"/>
                <c:pt idx="0">
                  <c:v>0.15</c:v>
                </c:pt>
                <c:pt idx="1">
                  <c:v>0.15</c:v>
                </c:pt>
                <c:pt idx="2">
                  <c:v>0.15</c:v>
                </c:pt>
              </c:numCache>
            </c:numRef>
          </c:val>
          <c:extLst>
            <c:ext xmlns:c16="http://schemas.microsoft.com/office/drawing/2014/chart" uri="{C3380CC4-5D6E-409C-BE32-E72D297353CC}">
              <c16:uniqueId val="{00000003-6201-4386-BA02-B48A7B03FABC}"/>
            </c:ext>
          </c:extLst>
        </c:ser>
        <c:dLbls>
          <c:showLegendKey val="0"/>
          <c:showVal val="0"/>
          <c:showCatName val="0"/>
          <c:showSerName val="0"/>
          <c:showPercent val="0"/>
          <c:showBubbleSize val="0"/>
        </c:dLbls>
        <c:gapWidth val="219"/>
        <c:overlap val="-27"/>
        <c:axId val="1518267295"/>
        <c:axId val="1518244415"/>
      </c:barChart>
      <c:catAx>
        <c:axId val="1518267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18244415"/>
        <c:crosses val="autoZero"/>
        <c:auto val="1"/>
        <c:lblAlgn val="ctr"/>
        <c:lblOffset val="100"/>
        <c:noMultiLvlLbl val="0"/>
      </c:catAx>
      <c:valAx>
        <c:axId val="1518244415"/>
        <c:scaling>
          <c:orientation val="minMax"/>
        </c:scaling>
        <c:delete val="1"/>
        <c:axPos val="l"/>
        <c:numFmt formatCode="0%" sourceLinked="1"/>
        <c:majorTickMark val="none"/>
        <c:minorTickMark val="none"/>
        <c:tickLblPos val="nextTo"/>
        <c:crossAx val="1518267295"/>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'Pay Rates by Benchmark'!$V$24</c:f>
              <c:strCache>
                <c:ptCount val="1"/>
                <c:pt idx="0">
                  <c:v>State employee health care plan</c:v>
                </c:pt>
              </c:strCache>
            </c:strRef>
          </c:tx>
          <c:dPt>
            <c:idx val="0"/>
            <c:bubble3D val="0"/>
            <c:spPr>
              <a:solidFill>
                <a:srgbClr val="702082"/>
              </a:solidFill>
              <a:ln w="19050">
                <a:solidFill>
                  <a:schemeClr val="lt1"/>
                </a:solidFill>
              </a:ln>
              <a:effectLst/>
            </c:spPr>
            <c:extLst>
              <c:ext xmlns:c16="http://schemas.microsoft.com/office/drawing/2014/chart" uri="{C3380CC4-5D6E-409C-BE32-E72D297353CC}">
                <c16:uniqueId val="{00000001-CDD1-4ED2-A18A-EEEB0E641B48}"/>
              </c:ext>
            </c:extLst>
          </c:dPt>
          <c:dPt>
            <c:idx val="1"/>
            <c:bubble3D val="0"/>
            <c:spPr>
              <a:solidFill>
                <a:srgbClr val="FFB81C"/>
              </a:solidFill>
              <a:ln w="19050">
                <a:solidFill>
                  <a:schemeClr val="lt1"/>
                </a:solidFill>
              </a:ln>
              <a:effectLst/>
            </c:spPr>
            <c:extLst>
              <c:ext xmlns:c16="http://schemas.microsoft.com/office/drawing/2014/chart" uri="{C3380CC4-5D6E-409C-BE32-E72D297353CC}">
                <c16:uniqueId val="{00000003-CDD1-4ED2-A18A-EEEB0E641B48}"/>
              </c:ext>
            </c:extLst>
          </c:dPt>
          <c:dPt>
            <c:idx val="2"/>
            <c:bubble3D val="0"/>
            <c:spPr>
              <a:solidFill>
                <a:srgbClr val="00A0D2"/>
              </a:solidFill>
              <a:ln w="19050">
                <a:solidFill>
                  <a:schemeClr val="lt1"/>
                </a:solidFill>
              </a:ln>
              <a:effectLst/>
            </c:spPr>
            <c:extLst>
              <c:ext xmlns:c16="http://schemas.microsoft.com/office/drawing/2014/chart" uri="{C3380CC4-5D6E-409C-BE32-E72D297353CC}">
                <c16:uniqueId val="{00000005-CDD1-4ED2-A18A-EEEB0E641B48}"/>
              </c:ext>
            </c:extLst>
          </c:dPt>
          <c:cat>
            <c:strRef>
              <c:f>'Pay Rates by Benchmark'!$AA$20:$AC$20</c:f>
              <c:strCache>
                <c:ptCount val="3"/>
                <c:pt idx="0">
                  <c:v>Employer Cost</c:v>
                </c:pt>
                <c:pt idx="1">
                  <c:v>Employee Contributions</c:v>
                </c:pt>
                <c:pt idx="2">
                  <c:v>Employee OOP Costs</c:v>
                </c:pt>
              </c:strCache>
            </c:strRef>
          </c:cat>
          <c:val>
            <c:numRef>
              <c:f>'Pay Rates by Benchmark'!$AA$24:$AC$24</c:f>
              <c:numCache>
                <c:formatCode>0%</c:formatCode>
                <c:ptCount val="3"/>
                <c:pt idx="0">
                  <c:v>0.78</c:v>
                </c:pt>
                <c:pt idx="1">
                  <c:v>0.14000000000000001</c:v>
                </c:pt>
                <c:pt idx="2">
                  <c:v>0.08</c:v>
                </c:pt>
              </c:numCache>
            </c:numRef>
          </c:val>
          <c:extLst>
            <c:ext xmlns:c16="http://schemas.microsoft.com/office/drawing/2014/chart" uri="{C3380CC4-5D6E-409C-BE32-E72D297353CC}">
              <c16:uniqueId val="{00000006-CDD1-4ED2-A18A-EEEB0E641B4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'Pay Plan Types'!$C$48</c:f>
              <c:strCache>
                <c:ptCount val="1"/>
                <c:pt idx="0">
                  <c:v>Grade and Step</c:v>
                </c:pt>
              </c:strCache>
            </c:strRef>
          </c:tx>
          <c:spPr>
            <a:solidFill>
              <a:srgbClr val="3B6A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Plan Types'!$B$49:$B$50</c:f>
              <c:strCache>
                <c:ptCount val="2"/>
                <c:pt idx="0">
                  <c:v>Union</c:v>
                </c:pt>
                <c:pt idx="1">
                  <c:v>Non-Represented</c:v>
                </c:pt>
              </c:strCache>
            </c:strRef>
          </c:cat>
          <c:val>
            <c:numRef>
              <c:f>'Pay Plan Types'!$C$49:$C$50</c:f>
              <c:numCache>
                <c:formatCode>0%</c:formatCode>
                <c:ptCount val="2"/>
                <c:pt idx="0">
                  <c:v>0.46808510638297873</c:v>
                </c:pt>
                <c:pt idx="1">
                  <c:v>0.40425531914893614</c:v>
                </c:pt>
              </c:numCache>
            </c:numRef>
          </c:val>
          <c:extLst>
            <c:ext xmlns:c16="http://schemas.microsoft.com/office/drawing/2014/chart" uri="{C3380CC4-5D6E-409C-BE32-E72D297353CC}">
              <c16:uniqueId val="{00000000-ECBD-4F1C-B77E-FCFEACDDB988}"/>
            </c:ext>
          </c:extLst>
        </c:ser>
        <c:ser>
          <c:idx val="1"/>
          <c:order val="1"/>
          <c:tx>
            <c:strRef>
              <c:f>'Pay Plan Types'!$D$48</c:f>
              <c:strCache>
                <c:ptCount val="1"/>
                <c:pt idx="0">
                  <c:v>Grades, No Steps</c:v>
                </c:pt>
              </c:strCache>
            </c:strRef>
          </c:tx>
          <c:spPr>
            <a:solidFill>
              <a:srgbClr val="188C5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Plan Types'!$B$49:$B$50</c:f>
              <c:strCache>
                <c:ptCount val="2"/>
                <c:pt idx="0">
                  <c:v>Union</c:v>
                </c:pt>
                <c:pt idx="1">
                  <c:v>Non-Represented</c:v>
                </c:pt>
              </c:strCache>
            </c:strRef>
          </c:cat>
          <c:val>
            <c:numRef>
              <c:f>'Pay Plan Types'!$D$49:$D$50</c:f>
              <c:numCache>
                <c:formatCode>0%</c:formatCode>
                <c:ptCount val="2"/>
                <c:pt idx="0">
                  <c:v>4.2553191489361701E-2</c:v>
                </c:pt>
                <c:pt idx="1">
                  <c:v>0.10638297872340426</c:v>
                </c:pt>
              </c:numCache>
            </c:numRef>
          </c:val>
          <c:extLst>
            <c:ext xmlns:c16="http://schemas.microsoft.com/office/drawing/2014/chart" uri="{C3380CC4-5D6E-409C-BE32-E72D297353CC}">
              <c16:uniqueId val="{00000001-ECBD-4F1C-B77E-FCFEACDDB988}"/>
            </c:ext>
          </c:extLst>
        </c:ser>
        <c:ser>
          <c:idx val="2"/>
          <c:order val="2"/>
          <c:tx>
            <c:strRef>
              <c:f>'Pay Plan Types'!$E$48</c:f>
              <c:strCache>
                <c:ptCount val="1"/>
                <c:pt idx="0">
                  <c:v>Merit/ Performance Based</c:v>
                </c:pt>
              </c:strCache>
            </c:strRef>
          </c:tx>
          <c:spPr>
            <a:solidFill>
              <a:srgbClr val="BF9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Plan Types'!$B$49:$B$50</c:f>
              <c:strCache>
                <c:ptCount val="2"/>
                <c:pt idx="0">
                  <c:v>Union</c:v>
                </c:pt>
                <c:pt idx="1">
                  <c:v>Non-Represented</c:v>
                </c:pt>
              </c:strCache>
            </c:strRef>
          </c:cat>
          <c:val>
            <c:numRef>
              <c:f>'Pay Plan Types'!$E$49:$E$50</c:f>
              <c:numCache>
                <c:formatCode>0%</c:formatCode>
                <c:ptCount val="2"/>
                <c:pt idx="0">
                  <c:v>0.10638297872340426</c:v>
                </c:pt>
                <c:pt idx="1">
                  <c:v>0.23404255319148937</c:v>
                </c:pt>
              </c:numCache>
            </c:numRef>
          </c:val>
          <c:extLst>
            <c:ext xmlns:c16="http://schemas.microsoft.com/office/drawing/2014/chart" uri="{C3380CC4-5D6E-409C-BE32-E72D297353CC}">
              <c16:uniqueId val="{00000002-ECBD-4F1C-B77E-FCFEACDDB988}"/>
            </c:ext>
          </c:extLst>
        </c:ser>
        <c:ser>
          <c:idx val="3"/>
          <c:order val="3"/>
          <c:tx>
            <c:strRef>
              <c:f>'Pay Plan Types'!$F$48</c:f>
              <c:strCache>
                <c:ptCount val="1"/>
                <c:pt idx="0">
                  <c:v>Other</c:v>
                </c:pt>
              </c:strCache>
            </c:strRef>
          </c:tx>
          <c:spPr>
            <a:solidFill>
              <a:srgbClr val="C0C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Plan Types'!$B$49:$B$50</c:f>
              <c:strCache>
                <c:ptCount val="2"/>
                <c:pt idx="0">
                  <c:v>Union</c:v>
                </c:pt>
                <c:pt idx="1">
                  <c:v>Non-Represented</c:v>
                </c:pt>
              </c:strCache>
            </c:strRef>
          </c:cat>
          <c:val>
            <c:numRef>
              <c:f>'Pay Plan Types'!$F$49:$F$50</c:f>
              <c:numCache>
                <c:formatCode>0%</c:formatCode>
                <c:ptCount val="2"/>
                <c:pt idx="0">
                  <c:v>8.5106382978723402E-2</c:v>
                </c:pt>
                <c:pt idx="1">
                  <c:v>0.1276595744680851</c:v>
                </c:pt>
              </c:numCache>
            </c:numRef>
          </c:val>
          <c:extLst>
            <c:ext xmlns:c16="http://schemas.microsoft.com/office/drawing/2014/chart" uri="{C3380CC4-5D6E-409C-BE32-E72D297353CC}">
              <c16:uniqueId val="{00000003-ECBD-4F1C-B77E-FCFEACDDB988}"/>
            </c:ext>
          </c:extLst>
        </c:ser>
        <c:dLbls>
          <c:showLegendKey val="0"/>
          <c:showVal val="0"/>
          <c:showCatName val="0"/>
          <c:showSerName val="0"/>
          <c:showPercent val="0"/>
          <c:showBubbleSize val="0"/>
        </c:dLbls>
        <c:gapWidth val="200"/>
        <c:overlap val="-10"/>
        <c:axId val="1932931119"/>
        <c:axId val="1932925711"/>
      </c:barChart>
      <c:catAx>
        <c:axId val="193293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932925711"/>
        <c:crosses val="autoZero"/>
        <c:auto val="1"/>
        <c:lblAlgn val="ctr"/>
        <c:lblOffset val="100"/>
        <c:noMultiLvlLbl val="0"/>
      </c:catAx>
      <c:valAx>
        <c:axId val="1932925711"/>
        <c:scaling>
          <c:orientation val="minMax"/>
          <c:max val="1"/>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sz="1200" b="1"/>
                  <a:t>Percent of Respondents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932931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917905049554562"/>
          <c:y val="3.2884902840059793E-2"/>
          <c:w val="0.65854483067788983"/>
          <c:h val="0.89776302625848903"/>
        </c:manualLayout>
      </c:layout>
      <c:barChart>
        <c:barDir val="bar"/>
        <c:grouping val="clustered"/>
        <c:varyColors val="0"/>
        <c:ser>
          <c:idx val="0"/>
          <c:order val="0"/>
          <c:tx>
            <c:strRef>
              <c:f>'Pay Plan Types'!$O$3</c:f>
              <c:strCache>
                <c:ptCount val="1"/>
                <c:pt idx="0">
                  <c:v>Median</c:v>
                </c:pt>
              </c:strCache>
            </c:strRef>
          </c:tx>
          <c:spPr>
            <a:solidFill>
              <a:schemeClr val="accent1"/>
            </a:solidFill>
            <a:ln>
              <a:noFill/>
            </a:ln>
            <a:effectLst/>
          </c:spPr>
          <c:invertIfNegative val="0"/>
          <c:dPt>
            <c:idx val="0"/>
            <c:invertIfNegative val="0"/>
            <c:bubble3D val="0"/>
            <c:spPr>
              <a:solidFill>
                <a:srgbClr val="3B6A80"/>
              </a:solidFill>
              <a:ln>
                <a:noFill/>
              </a:ln>
              <a:effectLst/>
            </c:spPr>
            <c:extLst>
              <c:ext xmlns:c16="http://schemas.microsoft.com/office/drawing/2014/chart" uri="{C3380CC4-5D6E-409C-BE32-E72D297353CC}">
                <c16:uniqueId val="{00000001-24A6-448F-ADF0-5DC20F446DE5}"/>
              </c:ext>
            </c:extLst>
          </c:dPt>
          <c:dPt>
            <c:idx val="1"/>
            <c:invertIfNegative val="0"/>
            <c:bubble3D val="0"/>
            <c:spPr>
              <a:solidFill>
                <a:srgbClr val="3B6A80"/>
              </a:solidFill>
              <a:ln>
                <a:noFill/>
              </a:ln>
              <a:effectLst/>
            </c:spPr>
            <c:extLst>
              <c:ext xmlns:c16="http://schemas.microsoft.com/office/drawing/2014/chart" uri="{C3380CC4-5D6E-409C-BE32-E72D297353CC}">
                <c16:uniqueId val="{00000003-24A6-448F-ADF0-5DC20F446DE5}"/>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Plan Types'!$M$4:$M$5</c:f>
              <c:strCache>
                <c:ptCount val="2"/>
                <c:pt idx="0">
                  <c:v>Union Represented Employees</c:v>
                </c:pt>
                <c:pt idx="1">
                  <c:v>Non-Represented Employees</c:v>
                </c:pt>
              </c:strCache>
            </c:strRef>
          </c:cat>
          <c:val>
            <c:numRef>
              <c:f>'Pay Plan Types'!$O$4:$O$5</c:f>
              <c:numCache>
                <c:formatCode>#,##0.0</c:formatCode>
                <c:ptCount val="2"/>
                <c:pt idx="0">
                  <c:v>6.5</c:v>
                </c:pt>
                <c:pt idx="1">
                  <c:v>7</c:v>
                </c:pt>
              </c:numCache>
            </c:numRef>
          </c:val>
          <c:extLst>
            <c:ext xmlns:c16="http://schemas.microsoft.com/office/drawing/2014/chart" uri="{C3380CC4-5D6E-409C-BE32-E72D297353CC}">
              <c16:uniqueId val="{00000004-24A6-448F-ADF0-5DC20F446DE5}"/>
            </c:ext>
          </c:extLst>
        </c:ser>
        <c:dLbls>
          <c:showLegendKey val="0"/>
          <c:showVal val="0"/>
          <c:showCatName val="0"/>
          <c:showSerName val="0"/>
          <c:showPercent val="0"/>
          <c:showBubbleSize val="0"/>
        </c:dLbls>
        <c:gapWidth val="100"/>
        <c:axId val="1394784223"/>
        <c:axId val="1394787551"/>
      </c:barChart>
      <c:catAx>
        <c:axId val="1394784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94787551"/>
        <c:crosses val="autoZero"/>
        <c:auto val="1"/>
        <c:lblAlgn val="ctr"/>
        <c:lblOffset val="100"/>
        <c:noMultiLvlLbl val="0"/>
      </c:catAx>
      <c:valAx>
        <c:axId val="1394787551"/>
        <c:scaling>
          <c:orientation val="minMax"/>
          <c:min val="0"/>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84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'Pay Scale Adjustments'!$C$41</c:f>
              <c:strCache>
                <c:ptCount val="1"/>
                <c:pt idx="0">
                  <c:v>FY2023</c:v>
                </c:pt>
              </c:strCache>
            </c:strRef>
          </c:tx>
          <c:spPr>
            <a:solidFill>
              <a:srgbClr val="3B6A8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Adjustments'!$B$42:$B$43</c:f>
              <c:strCache>
                <c:ptCount val="2"/>
                <c:pt idx="0">
                  <c:v>Union Represented Employees</c:v>
                </c:pt>
                <c:pt idx="1">
                  <c:v>Non-Represented Employees</c:v>
                </c:pt>
              </c:strCache>
            </c:strRef>
          </c:cat>
          <c:val>
            <c:numRef>
              <c:f>'Pay Scale Adjustments'!$C$42:$C$43</c:f>
              <c:numCache>
                <c:formatCode>0.00%</c:formatCode>
                <c:ptCount val="2"/>
                <c:pt idx="0">
                  <c:v>0.04</c:v>
                </c:pt>
                <c:pt idx="1">
                  <c:v>0.04</c:v>
                </c:pt>
              </c:numCache>
            </c:numRef>
          </c:val>
          <c:extLst>
            <c:ext xmlns:c16="http://schemas.microsoft.com/office/drawing/2014/chart" uri="{C3380CC4-5D6E-409C-BE32-E72D297353CC}">
              <c16:uniqueId val="{00000000-C36A-4ED5-8548-E22DA4E1FA92}"/>
            </c:ext>
          </c:extLst>
        </c:ser>
        <c:ser>
          <c:idx val="1"/>
          <c:order val="1"/>
          <c:tx>
            <c:strRef>
              <c:f>'Pay Scale Adjustments'!$D$41</c:f>
              <c:strCache>
                <c:ptCount val="1"/>
                <c:pt idx="0">
                  <c:v>FY2024</c:v>
                </c:pt>
              </c:strCache>
            </c:strRef>
          </c:tx>
          <c:spPr>
            <a:solidFill>
              <a:srgbClr val="188C57"/>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Adjustments'!$B$42:$B$43</c:f>
              <c:strCache>
                <c:ptCount val="2"/>
                <c:pt idx="0">
                  <c:v>Union Represented Employees</c:v>
                </c:pt>
                <c:pt idx="1">
                  <c:v>Non-Represented Employees</c:v>
                </c:pt>
              </c:strCache>
            </c:strRef>
          </c:cat>
          <c:val>
            <c:numRef>
              <c:f>'Pay Scale Adjustments'!$D$42:$D$43</c:f>
              <c:numCache>
                <c:formatCode>0.00%</c:formatCode>
                <c:ptCount val="2"/>
                <c:pt idx="0">
                  <c:v>3.5000000000000003E-2</c:v>
                </c:pt>
                <c:pt idx="1">
                  <c:v>3.5000000000000003E-2</c:v>
                </c:pt>
              </c:numCache>
            </c:numRef>
          </c:val>
          <c:extLst>
            <c:ext xmlns:c16="http://schemas.microsoft.com/office/drawing/2014/chart" uri="{C3380CC4-5D6E-409C-BE32-E72D297353CC}">
              <c16:uniqueId val="{00000001-C36A-4ED5-8548-E22DA4E1FA92}"/>
            </c:ext>
          </c:extLst>
        </c:ser>
        <c:dLbls>
          <c:showLegendKey val="0"/>
          <c:showVal val="0"/>
          <c:showCatName val="0"/>
          <c:showSerName val="0"/>
          <c:showPercent val="0"/>
          <c:showBubbleSize val="0"/>
        </c:dLbls>
        <c:gapWidth val="150"/>
        <c:axId val="158646400"/>
        <c:axId val="158646816"/>
      </c:barChart>
      <c:catAx>
        <c:axId val="15864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8646816"/>
        <c:crosses val="autoZero"/>
        <c:auto val="1"/>
        <c:lblAlgn val="ctr"/>
        <c:lblOffset val="100"/>
        <c:noMultiLvlLbl val="0"/>
      </c:catAx>
      <c:valAx>
        <c:axId val="15864681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8646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'Pay Scale Adjustments'!$Y$43</c:f>
              <c:strCache>
                <c:ptCount val="1"/>
                <c:pt idx="0">
                  <c:v>CBA*</c:v>
                </c:pt>
              </c:strCache>
            </c:strRef>
          </c:tx>
          <c:spPr>
            <a:solidFill>
              <a:srgbClr val="3B6A8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Adjustments'!$Z$42:$AA$42</c:f>
              <c:strCache>
                <c:ptCount val="2"/>
                <c:pt idx="0">
                  <c:v>Union Represented Employees</c:v>
                </c:pt>
                <c:pt idx="1">
                  <c:v>Non-Represented Employees</c:v>
                </c:pt>
              </c:strCache>
            </c:strRef>
          </c:cat>
          <c:val>
            <c:numRef>
              <c:f>'Pay Scale Adjustments'!$Z$43:$AA$43</c:f>
              <c:numCache>
                <c:formatCode>0%</c:formatCode>
                <c:ptCount val="2"/>
                <c:pt idx="0">
                  <c:v>0.48936170212765956</c:v>
                </c:pt>
                <c:pt idx="1">
                  <c:v>8.5106382978723402E-2</c:v>
                </c:pt>
              </c:numCache>
            </c:numRef>
          </c:val>
          <c:extLst>
            <c:ext xmlns:c16="http://schemas.microsoft.com/office/drawing/2014/chart" uri="{C3380CC4-5D6E-409C-BE32-E72D297353CC}">
              <c16:uniqueId val="{00000000-A9B2-4CF8-925E-EB5DC6E337F2}"/>
            </c:ext>
          </c:extLst>
        </c:ser>
        <c:ser>
          <c:idx val="1"/>
          <c:order val="1"/>
          <c:tx>
            <c:strRef>
              <c:f>'Pay Scale Adjustments'!$Y$44</c:f>
              <c:strCache>
                <c:ptCount val="1"/>
                <c:pt idx="0">
                  <c:v>Interest Arbitration</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Adjustments'!$Z$42:$AA$42</c:f>
              <c:strCache>
                <c:ptCount val="2"/>
                <c:pt idx="0">
                  <c:v>Union Represented Employees</c:v>
                </c:pt>
                <c:pt idx="1">
                  <c:v>Non-Represented Employees</c:v>
                </c:pt>
              </c:strCache>
            </c:strRef>
          </c:cat>
          <c:val>
            <c:numRef>
              <c:f>'Pay Scale Adjustments'!$Z$44:$AA$44</c:f>
              <c:numCache>
                <c:formatCode>0%</c:formatCode>
                <c:ptCount val="2"/>
                <c:pt idx="0">
                  <c:v>2.1276595744680851E-2</c:v>
                </c:pt>
                <c:pt idx="1">
                  <c:v>0</c:v>
                </c:pt>
              </c:numCache>
            </c:numRef>
          </c:val>
          <c:extLst>
            <c:ext xmlns:c16="http://schemas.microsoft.com/office/drawing/2014/chart" uri="{C3380CC4-5D6E-409C-BE32-E72D297353CC}">
              <c16:uniqueId val="{00000001-A9B2-4CF8-925E-EB5DC6E337F2}"/>
            </c:ext>
          </c:extLst>
        </c:ser>
        <c:ser>
          <c:idx val="2"/>
          <c:order val="2"/>
          <c:tx>
            <c:strRef>
              <c:f>'Pay Scale Adjustments'!$Y$45</c:f>
              <c:strCache>
                <c:ptCount val="1"/>
                <c:pt idx="0">
                  <c:v>Budget/ Financial Feasibility</c:v>
                </c:pt>
              </c:strCache>
            </c:strRef>
          </c:tx>
          <c:spPr>
            <a:solidFill>
              <a:srgbClr val="BF900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Adjustments'!$Z$42:$AA$42</c:f>
              <c:strCache>
                <c:ptCount val="2"/>
                <c:pt idx="0">
                  <c:v>Union Represented Employees</c:v>
                </c:pt>
                <c:pt idx="1">
                  <c:v>Non-Represented Employees</c:v>
                </c:pt>
              </c:strCache>
            </c:strRef>
          </c:cat>
          <c:val>
            <c:numRef>
              <c:f>'Pay Scale Adjustments'!$Z$45:$AA$45</c:f>
              <c:numCache>
                <c:formatCode>0%</c:formatCode>
                <c:ptCount val="2"/>
                <c:pt idx="0">
                  <c:v>0.14893617021276595</c:v>
                </c:pt>
                <c:pt idx="1">
                  <c:v>0.36170212765957449</c:v>
                </c:pt>
              </c:numCache>
            </c:numRef>
          </c:val>
          <c:extLst>
            <c:ext xmlns:c16="http://schemas.microsoft.com/office/drawing/2014/chart" uri="{C3380CC4-5D6E-409C-BE32-E72D297353CC}">
              <c16:uniqueId val="{00000002-A9B2-4CF8-925E-EB5DC6E337F2}"/>
            </c:ext>
          </c:extLst>
        </c:ser>
        <c:ser>
          <c:idx val="3"/>
          <c:order val="3"/>
          <c:tx>
            <c:strRef>
              <c:f>'Pay Scale Adjustments'!$Y$46</c:f>
              <c:strCache>
                <c:ptCount val="1"/>
                <c:pt idx="0">
                  <c:v>Cost of Living (Inflation)</c:v>
                </c:pt>
              </c:strCache>
            </c:strRef>
          </c:tx>
          <c:spPr>
            <a:solidFill>
              <a:schemeClr val="tx2">
                <a:lumMod val="75000"/>
              </a:schemeClr>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Adjustments'!$Z$42:$AA$42</c:f>
              <c:strCache>
                <c:ptCount val="2"/>
                <c:pt idx="0">
                  <c:v>Union Represented Employees</c:v>
                </c:pt>
                <c:pt idx="1">
                  <c:v>Non-Represented Employees</c:v>
                </c:pt>
              </c:strCache>
            </c:strRef>
          </c:cat>
          <c:val>
            <c:numRef>
              <c:f>'Pay Scale Adjustments'!$Z$46:$AA$46</c:f>
              <c:numCache>
                <c:formatCode>0%</c:formatCode>
                <c:ptCount val="2"/>
                <c:pt idx="0">
                  <c:v>0.23404255319148937</c:v>
                </c:pt>
                <c:pt idx="1">
                  <c:v>0.34042553191489361</c:v>
                </c:pt>
              </c:numCache>
            </c:numRef>
          </c:val>
          <c:extLst>
            <c:ext xmlns:c16="http://schemas.microsoft.com/office/drawing/2014/chart" uri="{C3380CC4-5D6E-409C-BE32-E72D297353CC}">
              <c16:uniqueId val="{00000003-A9B2-4CF8-925E-EB5DC6E337F2}"/>
            </c:ext>
          </c:extLst>
        </c:ser>
        <c:ser>
          <c:idx val="4"/>
          <c:order val="4"/>
          <c:tx>
            <c:strRef>
              <c:f>'Pay Scale Adjustments'!$Y$47</c:f>
              <c:strCache>
                <c:ptCount val="1"/>
                <c:pt idx="0">
                  <c:v>Cost of Labor (Market)</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Adjustments'!$Z$42:$AA$42</c:f>
              <c:strCache>
                <c:ptCount val="2"/>
                <c:pt idx="0">
                  <c:v>Union Represented Employees</c:v>
                </c:pt>
                <c:pt idx="1">
                  <c:v>Non-Represented Employees</c:v>
                </c:pt>
              </c:strCache>
            </c:strRef>
          </c:cat>
          <c:val>
            <c:numRef>
              <c:f>'Pay Scale Adjustments'!$Z$47:$AA$47</c:f>
              <c:numCache>
                <c:formatCode>0%</c:formatCode>
                <c:ptCount val="2"/>
                <c:pt idx="0">
                  <c:v>0.1702127659574468</c:v>
                </c:pt>
                <c:pt idx="1">
                  <c:v>0.27659574468085107</c:v>
                </c:pt>
              </c:numCache>
            </c:numRef>
          </c:val>
          <c:extLst>
            <c:ext xmlns:c16="http://schemas.microsoft.com/office/drawing/2014/chart" uri="{C3380CC4-5D6E-409C-BE32-E72D297353CC}">
              <c16:uniqueId val="{00000004-A9B2-4CF8-925E-EB5DC6E337F2}"/>
            </c:ext>
          </c:extLst>
        </c:ser>
        <c:ser>
          <c:idx val="5"/>
          <c:order val="5"/>
          <c:tx>
            <c:strRef>
              <c:f>'Pay Scale Adjustments'!$Y$48</c:f>
              <c:strCache>
                <c:ptCount val="1"/>
                <c:pt idx="0">
                  <c:v>Other</c:v>
                </c:pt>
              </c:strCache>
            </c:strRef>
          </c:tx>
          <c:spPr>
            <a:solidFill>
              <a:srgbClr val="C0C0C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'Pay Scale Adjustments'!$Z$42:$AA$42</c:f>
              <c:strCache>
                <c:ptCount val="2"/>
                <c:pt idx="0">
                  <c:v>Union Represented Employees</c:v>
                </c:pt>
                <c:pt idx="1">
                  <c:v>Non-Represented Employees</c:v>
                </c:pt>
              </c:strCache>
            </c:strRef>
          </c:cat>
          <c:val>
            <c:numRef>
              <c:f>'Pay Scale Adjustments'!$Z$48:$AA$48</c:f>
              <c:numCache>
                <c:formatCode>0%</c:formatCode>
                <c:ptCount val="2"/>
                <c:pt idx="0">
                  <c:v>2.1276595744680851E-2</c:v>
                </c:pt>
                <c:pt idx="1">
                  <c:v>0.10638297872340426</c:v>
                </c:pt>
              </c:numCache>
            </c:numRef>
          </c:val>
          <c:extLst>
            <c:ext xmlns:c16="http://schemas.microsoft.com/office/drawing/2014/chart" uri="{C3380CC4-5D6E-409C-BE32-E72D297353CC}">
              <c16:uniqueId val="{00000005-A9B2-4CF8-925E-EB5DC6E337F2}"/>
            </c:ext>
          </c:extLst>
        </c:ser>
        <c:dLbls>
          <c:showLegendKey val="0"/>
          <c:showVal val="0"/>
          <c:showCatName val="0"/>
          <c:showSerName val="0"/>
          <c:showPercent val="0"/>
          <c:showBubbleSize val="0"/>
        </c:dLbls>
        <c:gapWidth val="150"/>
        <c:axId val="158530336"/>
        <c:axId val="158533248"/>
      </c:barChart>
      <c:catAx>
        <c:axId val="15853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8533248"/>
        <c:crosses val="autoZero"/>
        <c:auto val="1"/>
        <c:lblAlgn val="ctr"/>
        <c:lblOffset val="100"/>
        <c:noMultiLvlLbl val="0"/>
      </c:catAx>
      <c:valAx>
        <c:axId val="158533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853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'Performance &amp; Incentive Pay'!$H$2</c:f>
              <c:strCache>
                <c:ptCount val="1"/>
                <c:pt idx="0">
                  <c:v>Longevity Pay Provided</c:v>
                </c:pt>
              </c:strCache>
            </c:strRef>
          </c:tx>
          <c:dPt>
            <c:idx val="0"/>
            <c:bubble3D val="0"/>
            <c:spPr>
              <a:solidFill>
                <a:srgbClr val="004568"/>
              </a:solidFill>
              <a:ln w="19050">
                <a:solidFill>
                  <a:schemeClr val="lt1"/>
                </a:solidFill>
              </a:ln>
              <a:effectLst/>
            </c:spPr>
            <c:extLst>
              <c:ext xmlns:c16="http://schemas.microsoft.com/office/drawing/2014/chart" uri="{C3380CC4-5D6E-409C-BE32-E72D297353CC}">
                <c16:uniqueId val="{00000001-3F29-4945-9586-4D16EEA2D8EE}"/>
              </c:ext>
            </c:extLst>
          </c:dPt>
          <c:dPt>
            <c:idx val="1"/>
            <c:bubble3D val="0"/>
            <c:spPr>
              <a:solidFill>
                <a:srgbClr val="BF9000"/>
              </a:solidFill>
              <a:ln w="19050">
                <a:solidFill>
                  <a:schemeClr val="lt1"/>
                </a:solidFill>
              </a:ln>
              <a:effectLst/>
            </c:spPr>
            <c:extLst>
              <c:ext xmlns:c16="http://schemas.microsoft.com/office/drawing/2014/chart" uri="{C3380CC4-5D6E-409C-BE32-E72D297353CC}">
                <c16:uniqueId val="{00000003-3F29-4945-9586-4D16EEA2D8EE}"/>
              </c:ext>
            </c:extLst>
          </c:dPt>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 &amp; Incentive Pay'!$I$5:$J$5</c:f>
              <c:strCache>
                <c:ptCount val="2"/>
                <c:pt idx="0">
                  <c:v>Yes</c:v>
                </c:pt>
                <c:pt idx="1">
                  <c:v>No</c:v>
                </c:pt>
              </c:strCache>
            </c:strRef>
          </c:cat>
          <c:val>
            <c:numRef>
              <c:f>'Performance &amp; Incentive Pay'!$L$8:$M$8</c:f>
              <c:numCache>
                <c:formatCode>0%</c:formatCode>
                <c:ptCount val="2"/>
                <c:pt idx="0">
                  <c:v>0.41935483870967744</c:v>
                </c:pt>
                <c:pt idx="1">
                  <c:v>0.58064516129032262</c:v>
                </c:pt>
              </c:numCache>
            </c:numRef>
          </c:val>
          <c:extLst>
            <c:ext xmlns:c16="http://schemas.microsoft.com/office/drawing/2014/chart" uri="{C3380CC4-5D6E-409C-BE32-E72D297353CC}">
              <c16:uniqueId val="{00000004-3F29-4945-9586-4D16EEA2D8EE}"/>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'Performance &amp; Incentive Pay'!$W$3</c:f>
              <c:strCache>
                <c:ptCount val="1"/>
                <c:pt idx="0">
                  <c:v>Percentage</c:v>
                </c:pt>
              </c:strCache>
            </c:strRef>
          </c:tx>
          <c:spPr>
            <a:solidFill>
              <a:srgbClr val="00456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'Performance &amp; Incentive Pay'!$V$4:$V$24</c:f>
              <c:strCache>
                <c:ptCount val="21"/>
                <c:pt idx="0">
                  <c:v>Group/team bonus or incentive</c:v>
                </c:pt>
                <c:pt idx="1">
                  <c:v>Gainsharing awards or bonuses</c:v>
                </c:pt>
                <c:pt idx="2">
                  <c:v>Spot incentives or bonuses</c:v>
                </c:pt>
                <c:pt idx="3">
                  <c:v>Organization-wide bonus or incentive</c:v>
                </c:pt>
                <c:pt idx="4">
                  <c:v>Individual performance bonus or incentive</c:v>
                </c:pt>
                <c:pt idx="5">
                  <c:v>Non-cash performance awards</c:v>
                </c:pt>
                <c:pt idx="6">
                  <c:v>Inter-disciplinary groups to accomplish tasks</c:v>
                </c:pt>
                <c:pt idx="7">
                  <c:v>Student loan assistance</c:v>
                </c:pt>
                <c:pt idx="8">
                  <c:v>Relocation reimbursement</c:v>
                </c:pt>
                <c:pt idx="9">
                  <c:v>Referral bonus</c:v>
                </c:pt>
                <c:pt idx="10">
                  <c:v>Recruitment or hiring bonus</c:v>
                </c:pt>
                <c:pt idx="11">
                  <c:v>Individual performance salary increases</c:v>
                </c:pt>
                <c:pt idx="12">
                  <c:v>Tuition assistance</c:v>
                </c:pt>
                <c:pt idx="13">
                  <c:v>Online training</c:v>
                </c:pt>
                <c:pt idx="14">
                  <c:v>Skill based pay or bonus</c:v>
                </c:pt>
                <c:pt idx="15">
                  <c:v>Retention or service bonus</c:v>
                </c:pt>
                <c:pt idx="16">
                  <c:v>Conferences and training modules</c:v>
                </c:pt>
                <c:pt idx="17">
                  <c:v>Commuting assistance</c:v>
                </c:pt>
                <c:pt idx="18">
                  <c:v>Longevity pay</c:v>
                </c:pt>
                <c:pt idx="19">
                  <c:v>Certification/licensing reimbursement</c:v>
                </c:pt>
                <c:pt idx="20">
                  <c:v>Membership dues reimbursement</c:v>
                </c:pt>
              </c:strCache>
            </c:strRef>
          </c:cat>
          <c:val>
            <c:numRef>
              <c:f>'Performance &amp; Incentive Pay'!$W$4:$W$24</c:f>
              <c:numCache>
                <c:formatCode>0%</c:formatCode>
                <c:ptCount val="21"/>
                <c:pt idx="0">
                  <c:v>2.1276595744680851E-2</c:v>
                </c:pt>
                <c:pt idx="1">
                  <c:v>4.2553191489361701E-2</c:v>
                </c:pt>
                <c:pt idx="2">
                  <c:v>6.3829787234042548E-2</c:v>
                </c:pt>
                <c:pt idx="3">
                  <c:v>6.3829787234042548E-2</c:v>
                </c:pt>
                <c:pt idx="4">
                  <c:v>0.10638297872340426</c:v>
                </c:pt>
                <c:pt idx="5">
                  <c:v>0.1276595744680851</c:v>
                </c:pt>
                <c:pt idx="6">
                  <c:v>0.14893617021276595</c:v>
                </c:pt>
                <c:pt idx="7">
                  <c:v>0.23404255319148937</c:v>
                </c:pt>
                <c:pt idx="8">
                  <c:v>0.23404255319148937</c:v>
                </c:pt>
                <c:pt idx="9">
                  <c:v>0.23404255319148937</c:v>
                </c:pt>
                <c:pt idx="10">
                  <c:v>0.2978723404255319</c:v>
                </c:pt>
                <c:pt idx="11">
                  <c:v>0.2978723404255319</c:v>
                </c:pt>
                <c:pt idx="12">
                  <c:v>0.36170212765957449</c:v>
                </c:pt>
                <c:pt idx="13">
                  <c:v>0.36170212765957449</c:v>
                </c:pt>
                <c:pt idx="14">
                  <c:v>0.38297872340425532</c:v>
                </c:pt>
                <c:pt idx="15">
                  <c:v>0.38297872340425532</c:v>
                </c:pt>
                <c:pt idx="16">
                  <c:v>0.38297872340425532</c:v>
                </c:pt>
                <c:pt idx="17">
                  <c:v>0.38297872340425532</c:v>
                </c:pt>
                <c:pt idx="18">
                  <c:v>0.41935483870967744</c:v>
                </c:pt>
                <c:pt idx="19">
                  <c:v>0.44680851063829785</c:v>
                </c:pt>
                <c:pt idx="20">
                  <c:v>0.51063829787234039</c:v>
                </c:pt>
              </c:numCache>
            </c:numRef>
          </c:val>
          <c:extLst>
            <c:ext xmlns:c16="http://schemas.microsoft.com/office/drawing/2014/chart" uri="{C3380CC4-5D6E-409C-BE32-E72D297353CC}">
              <c16:uniqueId val="{00000000-5683-4F82-A629-B48DF078D787}"/>
            </c:ext>
          </c:extLst>
        </c:ser>
        <c:dLbls>
          <c:showLegendKey val="0"/>
          <c:showVal val="0"/>
          <c:showCatName val="0"/>
          <c:showSerName val="0"/>
          <c:showPercent val="0"/>
          <c:showBubbleSize val="0"/>
        </c:dLbls>
        <c:gapWidth val="50"/>
        <c:axId val="152124159"/>
        <c:axId val="152107935"/>
      </c:barChart>
      <c:catAx>
        <c:axId val="152124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07935"/>
        <c:crosses val="autoZero"/>
        <c:auto val="1"/>
        <c:lblAlgn val="ctr"/>
        <c:lblOffset val="100"/>
        <c:noMultiLvlLbl val="0"/>
      </c:catAx>
      <c:valAx>
        <c:axId val="15210793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24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412658647098438E-2"/>
          <c:y val="2.507541579270179E-2"/>
          <c:w val="0.90115329256299537"/>
          <c:h val="0.77080768957934309"/>
        </c:manualLayout>
      </c:layout>
      <c:lineChart>
        <c:grouping val="standard"/>
        <c:varyColors val="0"/>
        <c:ser>
          <c:idx val="2"/>
          <c:order val="0"/>
          <c:tx>
            <c:v>Vacation Leave</c:v>
          </c:tx>
          <c:spPr>
            <a:ln w="38100" cap="rnd">
              <a:solidFill>
                <a:srgbClr val="BF9000"/>
              </a:solidFill>
              <a:prstDash val="solid"/>
              <a:round/>
            </a:ln>
            <a:effectLst/>
          </c:spPr>
          <c:marker>
            <c:symbol val="none"/>
          </c:marker>
          <c:cat>
            <c:strRef>
              <c:f>('Paid Leave'!$B$44:$B$56,'Paid Leave'!$I$44:$I$56)</c:f>
              <c:strCache>
                <c:ptCount val="26"/>
                <c:pt idx="0">
                  <c:v>1 Year</c:v>
                </c:pt>
                <c:pt idx="1">
                  <c:v>2 Years</c:v>
                </c:pt>
                <c:pt idx="2">
                  <c:v>3 Years</c:v>
                </c:pt>
                <c:pt idx="3">
                  <c:v>4 years</c:v>
                </c:pt>
                <c:pt idx="4">
                  <c:v>5 Years</c:v>
                </c:pt>
                <c:pt idx="5">
                  <c:v>6 Years</c:v>
                </c:pt>
                <c:pt idx="6">
                  <c:v>7 Years</c:v>
                </c:pt>
                <c:pt idx="7">
                  <c:v>8 Years</c:v>
                </c:pt>
                <c:pt idx="8">
                  <c:v>9 Years</c:v>
                </c:pt>
                <c:pt idx="9">
                  <c:v>10 Years</c:v>
                </c:pt>
                <c:pt idx="10">
                  <c:v>11 Years</c:v>
                </c:pt>
                <c:pt idx="11">
                  <c:v>12 Years</c:v>
                </c:pt>
                <c:pt idx="12">
                  <c:v>13 Years</c:v>
                </c:pt>
                <c:pt idx="13">
                  <c:v>14 Years</c:v>
                </c:pt>
                <c:pt idx="14">
                  <c:v>15 Years</c:v>
                </c:pt>
                <c:pt idx="15">
                  <c:v>16 Years</c:v>
                </c:pt>
                <c:pt idx="16">
                  <c:v>17 Years</c:v>
                </c:pt>
                <c:pt idx="17">
                  <c:v>18 Years</c:v>
                </c:pt>
                <c:pt idx="18">
                  <c:v>19 Years</c:v>
                </c:pt>
                <c:pt idx="19">
                  <c:v>20 Years</c:v>
                </c:pt>
                <c:pt idx="20">
                  <c:v>21 Years</c:v>
                </c:pt>
                <c:pt idx="21">
                  <c:v>22 Years</c:v>
                </c:pt>
                <c:pt idx="22">
                  <c:v>23 Years</c:v>
                </c:pt>
                <c:pt idx="23">
                  <c:v>24 Years</c:v>
                </c:pt>
                <c:pt idx="24">
                  <c:v>25 Years</c:v>
                </c:pt>
                <c:pt idx="25">
                  <c:v>25+ Years</c:v>
                </c:pt>
              </c:strCache>
            </c:strRef>
          </c:cat>
          <c:val>
            <c:numRef>
              <c:f>('Paid Leave'!$D$22:$D$34,'Paid Leave'!$K$22:$K$34)</c:f>
              <c:numCache>
                <c:formatCode>#,##0</c:formatCode>
                <c:ptCount val="26"/>
                <c:pt idx="0">
                  <c:v>96</c:v>
                </c:pt>
                <c:pt idx="1">
                  <c:v>96</c:v>
                </c:pt>
                <c:pt idx="2">
                  <c:v>104</c:v>
                </c:pt>
                <c:pt idx="3">
                  <c:v>112</c:v>
                </c:pt>
                <c:pt idx="4">
                  <c:v>120</c:v>
                </c:pt>
                <c:pt idx="5">
                  <c:v>126</c:v>
                </c:pt>
                <c:pt idx="6">
                  <c:v>128</c:v>
                </c:pt>
                <c:pt idx="7">
                  <c:v>135</c:v>
                </c:pt>
                <c:pt idx="8">
                  <c:v>136</c:v>
                </c:pt>
                <c:pt idx="9">
                  <c:v>144</c:v>
                </c:pt>
                <c:pt idx="10">
                  <c:v>152.4</c:v>
                </c:pt>
                <c:pt idx="11">
                  <c:v>152.4</c:v>
                </c:pt>
                <c:pt idx="12">
                  <c:v>156</c:v>
                </c:pt>
                <c:pt idx="13">
                  <c:v>160</c:v>
                </c:pt>
                <c:pt idx="14">
                  <c:v>168</c:v>
                </c:pt>
                <c:pt idx="15">
                  <c:v>168</c:v>
                </c:pt>
                <c:pt idx="16">
                  <c:v>168</c:v>
                </c:pt>
                <c:pt idx="17">
                  <c:v>176</c:v>
                </c:pt>
                <c:pt idx="18">
                  <c:v>176.4</c:v>
                </c:pt>
                <c:pt idx="19">
                  <c:v>192</c:v>
                </c:pt>
                <c:pt idx="20">
                  <c:v>192</c:v>
                </c:pt>
                <c:pt idx="21">
                  <c:v>192</c:v>
                </c:pt>
                <c:pt idx="22">
                  <c:v>198</c:v>
                </c:pt>
                <c:pt idx="23">
                  <c:v>198</c:v>
                </c:pt>
                <c:pt idx="24">
                  <c:v>200.4</c:v>
                </c:pt>
                <c:pt idx="25">
                  <c:v>208</c:v>
                </c:pt>
              </c:numCache>
            </c:numRef>
          </c:val>
          <c:smooth val="0"/>
          <c:extLst>
            <c:ext xmlns:c16="http://schemas.microsoft.com/office/drawing/2014/chart" uri="{C3380CC4-5D6E-409C-BE32-E72D297353CC}">
              <c16:uniqueId val="{00000000-61BB-400C-BF25-8A24DB95D52D}"/>
            </c:ext>
          </c:extLst>
        </c:ser>
        <c:ser>
          <c:idx val="0"/>
          <c:order val="1"/>
          <c:tx>
            <c:v>Sick Leave</c:v>
          </c:tx>
          <c:spPr>
            <a:ln w="47625" cap="rnd">
              <a:solidFill>
                <a:srgbClr val="528222"/>
              </a:solidFill>
              <a:prstDash val="sysDot"/>
              <a:round/>
            </a:ln>
            <a:effectLst/>
          </c:spPr>
          <c:marker>
            <c:symbol val="none"/>
          </c:marker>
          <c:cat>
            <c:strRef>
              <c:f>('Paid Leave'!$B$44:$B$56,'Paid Leave'!$I$44:$I$56)</c:f>
              <c:strCache>
                <c:ptCount val="26"/>
                <c:pt idx="0">
                  <c:v>1 Year</c:v>
                </c:pt>
                <c:pt idx="1">
                  <c:v>2 Years</c:v>
                </c:pt>
                <c:pt idx="2">
                  <c:v>3 Years</c:v>
                </c:pt>
                <c:pt idx="3">
                  <c:v>4 years</c:v>
                </c:pt>
                <c:pt idx="4">
                  <c:v>5 Years</c:v>
                </c:pt>
                <c:pt idx="5">
                  <c:v>6 Years</c:v>
                </c:pt>
                <c:pt idx="6">
                  <c:v>7 Years</c:v>
                </c:pt>
                <c:pt idx="7">
                  <c:v>8 Years</c:v>
                </c:pt>
                <c:pt idx="8">
                  <c:v>9 Years</c:v>
                </c:pt>
                <c:pt idx="9">
                  <c:v>10 Years</c:v>
                </c:pt>
                <c:pt idx="10">
                  <c:v>11 Years</c:v>
                </c:pt>
                <c:pt idx="11">
                  <c:v>12 Years</c:v>
                </c:pt>
                <c:pt idx="12">
                  <c:v>13 Years</c:v>
                </c:pt>
                <c:pt idx="13">
                  <c:v>14 Years</c:v>
                </c:pt>
                <c:pt idx="14">
                  <c:v>15 Years</c:v>
                </c:pt>
                <c:pt idx="15">
                  <c:v>16 Years</c:v>
                </c:pt>
                <c:pt idx="16">
                  <c:v>17 Years</c:v>
                </c:pt>
                <c:pt idx="17">
                  <c:v>18 Years</c:v>
                </c:pt>
                <c:pt idx="18">
                  <c:v>19 Years</c:v>
                </c:pt>
                <c:pt idx="19">
                  <c:v>20 Years</c:v>
                </c:pt>
                <c:pt idx="20">
                  <c:v>21 Years</c:v>
                </c:pt>
                <c:pt idx="21">
                  <c:v>22 Years</c:v>
                </c:pt>
                <c:pt idx="22">
                  <c:v>23 Years</c:v>
                </c:pt>
                <c:pt idx="23">
                  <c:v>24 Years</c:v>
                </c:pt>
                <c:pt idx="24">
                  <c:v>25 Years</c:v>
                </c:pt>
                <c:pt idx="25">
                  <c:v>25+ Years</c:v>
                </c:pt>
              </c:strCache>
            </c:strRef>
          </c:cat>
          <c:val>
            <c:numLit>
              <c:formatCode>General</c:formatCode>
              <c:ptCount val="26"/>
              <c:pt idx="0">
                <c:v>96</c:v>
              </c:pt>
              <c:pt idx="1">
                <c:v>96</c:v>
              </c:pt>
              <c:pt idx="2">
                <c:v>96</c:v>
              </c:pt>
              <c:pt idx="3">
                <c:v>96</c:v>
              </c:pt>
              <c:pt idx="4">
                <c:v>96</c:v>
              </c:pt>
              <c:pt idx="5">
                <c:v>96</c:v>
              </c:pt>
              <c:pt idx="6">
                <c:v>96</c:v>
              </c:pt>
              <c:pt idx="7">
                <c:v>96</c:v>
              </c:pt>
              <c:pt idx="8">
                <c:v>96</c:v>
              </c:pt>
              <c:pt idx="9">
                <c:v>96</c:v>
              </c:pt>
              <c:pt idx="10">
                <c:v>96</c:v>
              </c:pt>
              <c:pt idx="11">
                <c:v>96</c:v>
              </c:pt>
              <c:pt idx="12">
                <c:v>96</c:v>
              </c:pt>
              <c:pt idx="13">
                <c:v>96</c:v>
              </c:pt>
              <c:pt idx="14">
                <c:v>96</c:v>
              </c:pt>
              <c:pt idx="15">
                <c:v>96</c:v>
              </c:pt>
              <c:pt idx="16">
                <c:v>96</c:v>
              </c:pt>
              <c:pt idx="17">
                <c:v>96</c:v>
              </c:pt>
              <c:pt idx="18">
                <c:v>96</c:v>
              </c:pt>
              <c:pt idx="19">
                <c:v>96</c:v>
              </c:pt>
              <c:pt idx="20">
                <c:v>96</c:v>
              </c:pt>
              <c:pt idx="21">
                <c:v>96</c:v>
              </c:pt>
              <c:pt idx="22">
                <c:v>96</c:v>
              </c:pt>
              <c:pt idx="23">
                <c:v>96</c:v>
              </c:pt>
              <c:pt idx="24">
                <c:v>96</c:v>
              </c:pt>
              <c:pt idx="25">
                <c:v>96</c:v>
              </c:pt>
            </c:numLit>
          </c:val>
          <c:smooth val="0"/>
          <c:extLst>
            <c:ext xmlns:c16="http://schemas.microsoft.com/office/drawing/2014/chart" uri="{C3380CC4-5D6E-409C-BE32-E72D297353CC}">
              <c16:uniqueId val="{00000001-61BB-400C-BF25-8A24DB95D52D}"/>
            </c:ext>
          </c:extLst>
        </c:ser>
        <c:ser>
          <c:idx val="1"/>
          <c:order val="2"/>
          <c:tx>
            <c:v>PTO</c:v>
          </c:tx>
          <c:spPr>
            <a:ln w="38100" cap="rnd">
              <a:solidFill>
                <a:srgbClr val="004568"/>
              </a:solidFill>
              <a:prstDash val="dash"/>
              <a:round/>
            </a:ln>
            <a:effectLst/>
          </c:spPr>
          <c:marker>
            <c:symbol val="none"/>
          </c:marker>
          <c:cat>
            <c:strRef>
              <c:f>('Paid Leave'!$B$44:$B$56,'Paid Leave'!$I$44:$I$56)</c:f>
              <c:strCache>
                <c:ptCount val="26"/>
                <c:pt idx="0">
                  <c:v>1 Year</c:v>
                </c:pt>
                <c:pt idx="1">
                  <c:v>2 Years</c:v>
                </c:pt>
                <c:pt idx="2">
                  <c:v>3 Years</c:v>
                </c:pt>
                <c:pt idx="3">
                  <c:v>4 years</c:v>
                </c:pt>
                <c:pt idx="4">
                  <c:v>5 Years</c:v>
                </c:pt>
                <c:pt idx="5">
                  <c:v>6 Years</c:v>
                </c:pt>
                <c:pt idx="6">
                  <c:v>7 Years</c:v>
                </c:pt>
                <c:pt idx="7">
                  <c:v>8 Years</c:v>
                </c:pt>
                <c:pt idx="8">
                  <c:v>9 Years</c:v>
                </c:pt>
                <c:pt idx="9">
                  <c:v>10 Years</c:v>
                </c:pt>
                <c:pt idx="10">
                  <c:v>11 Years</c:v>
                </c:pt>
                <c:pt idx="11">
                  <c:v>12 Years</c:v>
                </c:pt>
                <c:pt idx="12">
                  <c:v>13 Years</c:v>
                </c:pt>
                <c:pt idx="13">
                  <c:v>14 Years</c:v>
                </c:pt>
                <c:pt idx="14">
                  <c:v>15 Years</c:v>
                </c:pt>
                <c:pt idx="15">
                  <c:v>16 Years</c:v>
                </c:pt>
                <c:pt idx="16">
                  <c:v>17 Years</c:v>
                </c:pt>
                <c:pt idx="17">
                  <c:v>18 Years</c:v>
                </c:pt>
                <c:pt idx="18">
                  <c:v>19 Years</c:v>
                </c:pt>
                <c:pt idx="19">
                  <c:v>20 Years</c:v>
                </c:pt>
                <c:pt idx="20">
                  <c:v>21 Years</c:v>
                </c:pt>
                <c:pt idx="21">
                  <c:v>22 Years</c:v>
                </c:pt>
                <c:pt idx="22">
                  <c:v>23 Years</c:v>
                </c:pt>
                <c:pt idx="23">
                  <c:v>24 Years</c:v>
                </c:pt>
                <c:pt idx="24">
                  <c:v>25 Years</c:v>
                </c:pt>
                <c:pt idx="25">
                  <c:v>25+ Years</c:v>
                </c:pt>
              </c:strCache>
            </c:strRef>
          </c:cat>
          <c:val>
            <c:numRef>
              <c:f>('Paid Leave'!$D$44:$D$56,'Paid Leave'!$K$44:$K$56)</c:f>
              <c:numCache>
                <c:formatCode>#,##0</c:formatCode>
                <c:ptCount val="26"/>
                <c:pt idx="0">
                  <c:v>140</c:v>
                </c:pt>
                <c:pt idx="1">
                  <c:v>140</c:v>
                </c:pt>
                <c:pt idx="2">
                  <c:v>152</c:v>
                </c:pt>
                <c:pt idx="3">
                  <c:v>152</c:v>
                </c:pt>
                <c:pt idx="4">
                  <c:v>152</c:v>
                </c:pt>
                <c:pt idx="5">
                  <c:v>192.01999999999998</c:v>
                </c:pt>
                <c:pt idx="6">
                  <c:v>192.01999999999998</c:v>
                </c:pt>
                <c:pt idx="7">
                  <c:v>192.01999999999998</c:v>
                </c:pt>
                <c:pt idx="8">
                  <c:v>192.01999999999998</c:v>
                </c:pt>
                <c:pt idx="9">
                  <c:v>204.01999999999998</c:v>
                </c:pt>
                <c:pt idx="10">
                  <c:v>208.01999999999998</c:v>
                </c:pt>
                <c:pt idx="11">
                  <c:v>212.01999999999998</c:v>
                </c:pt>
                <c:pt idx="12">
                  <c:v>216.01999999999998</c:v>
                </c:pt>
                <c:pt idx="13">
                  <c:v>220.01999999999998</c:v>
                </c:pt>
                <c:pt idx="14">
                  <c:v>232</c:v>
                </c:pt>
                <c:pt idx="15">
                  <c:v>236</c:v>
                </c:pt>
                <c:pt idx="16">
                  <c:v>240</c:v>
                </c:pt>
                <c:pt idx="17">
                  <c:v>240</c:v>
                </c:pt>
                <c:pt idx="18">
                  <c:v>240</c:v>
                </c:pt>
                <c:pt idx="19">
                  <c:v>240</c:v>
                </c:pt>
                <c:pt idx="20">
                  <c:v>252</c:v>
                </c:pt>
                <c:pt idx="21">
                  <c:v>252</c:v>
                </c:pt>
                <c:pt idx="22">
                  <c:v>252</c:v>
                </c:pt>
                <c:pt idx="23">
                  <c:v>252</c:v>
                </c:pt>
                <c:pt idx="24">
                  <c:v>252</c:v>
                </c:pt>
                <c:pt idx="25">
                  <c:v>256</c:v>
                </c:pt>
              </c:numCache>
            </c:numRef>
          </c:val>
          <c:smooth val="0"/>
          <c:extLst>
            <c:ext xmlns:c16="http://schemas.microsoft.com/office/drawing/2014/chart" uri="{C3380CC4-5D6E-409C-BE32-E72D297353CC}">
              <c16:uniqueId val="{00000002-61BB-400C-BF25-8A24DB95D52D}"/>
            </c:ext>
          </c:extLst>
        </c:ser>
        <c:dLbls>
          <c:showLegendKey val="0"/>
          <c:showVal val="0"/>
          <c:showCatName val="0"/>
          <c:showSerName val="0"/>
          <c:showPercent val="0"/>
          <c:showBubbleSize val="0"/>
        </c:dLbls>
        <c:smooth val="0"/>
        <c:axId val="890072080"/>
        <c:axId val="890072408"/>
      </c:lineChart>
      <c:catAx>
        <c:axId val="89007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Arial Narrow" panose="020B0606020202030204" pitchFamily="34" charset="0"/>
                <a:ea typeface="+mn-ea"/>
                <a:cs typeface="+mn-cs"/>
              </a:defRPr>
            </a:pPr>
            <a:endParaRPr lang="en-US"/>
          </a:p>
        </c:txPr>
        <c:crossAx val="890072408"/>
        <c:crosses val="autoZero"/>
        <c:auto val="1"/>
        <c:lblAlgn val="ctr"/>
        <c:lblOffset val="100"/>
        <c:noMultiLvlLbl val="0"/>
      </c:catAx>
      <c:valAx>
        <c:axId val="890072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Median Hours Accrued per</a:t>
                </a:r>
                <a:r>
                  <a:rPr lang="en-US" baseline="0">
                    <a:solidFill>
                      <a:sysClr val="windowText" lastClr="000000"/>
                    </a:solidFill>
                  </a:rPr>
                  <a:t> Year</a:t>
                </a:r>
                <a:endParaRPr lang="en-US">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n-US"/>
          </a:p>
        </c:txPr>
        <c:crossAx val="890072080"/>
        <c:crosses val="autoZero"/>
        <c:crossBetween val="between"/>
      </c:valAx>
      <c:spPr>
        <a:noFill/>
        <a:ln>
          <a:noFill/>
        </a:ln>
        <a:effectLst/>
      </c:spPr>
    </c:plotArea>
    <c:legend>
      <c:legendPos val="r"/>
      <c:layout>
        <c:manualLayout>
          <c:xMode val="edge"/>
          <c:yMode val="edge"/>
          <c:x val="0.58825584981515255"/>
          <c:y val="0.58685904802440236"/>
          <c:w val="0.33912998389236082"/>
          <c:h val="0.19816726963183656"/>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Arial Narrow" panose="020B0606020202030204" pitchFamily="34" charset="0"/>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'Paid Leave'!$B$5</c:f>
              <c:strCache>
                <c:ptCount val="1"/>
                <c:pt idx="0">
                  <c:v>Leave Type</c:v>
                </c:pt>
              </c:strCache>
            </c:strRef>
          </c:tx>
          <c:dPt>
            <c:idx val="0"/>
            <c:bubble3D val="0"/>
            <c:spPr>
              <a:solidFill>
                <a:srgbClr val="004568"/>
              </a:solidFill>
              <a:ln w="19050">
                <a:solidFill>
                  <a:schemeClr val="lt1"/>
                </a:solidFill>
              </a:ln>
              <a:effectLst/>
            </c:spPr>
            <c:extLst>
              <c:ext xmlns:c16="http://schemas.microsoft.com/office/drawing/2014/chart" uri="{C3380CC4-5D6E-409C-BE32-E72D297353CC}">
                <c16:uniqueId val="{00000001-81EC-42FE-B0E6-E19762FCED73}"/>
              </c:ext>
            </c:extLst>
          </c:dPt>
          <c:dPt>
            <c:idx val="1"/>
            <c:bubble3D val="0"/>
            <c:spPr>
              <a:solidFill>
                <a:srgbClr val="BF9000"/>
              </a:solidFill>
              <a:ln w="19050">
                <a:solidFill>
                  <a:schemeClr val="lt1"/>
                </a:solidFill>
              </a:ln>
              <a:effectLst/>
            </c:spPr>
            <c:extLst>
              <c:ext xmlns:c16="http://schemas.microsoft.com/office/drawing/2014/chart" uri="{C3380CC4-5D6E-409C-BE32-E72D297353CC}">
                <c16:uniqueId val="{00000003-81EC-42FE-B0E6-E19762FCED73}"/>
              </c:ext>
            </c:extLst>
          </c:dPt>
          <c:dLbls>
            <c:dLbl>
              <c:idx val="1"/>
              <c:layout>
                <c:manualLayout>
                  <c:x val="1.3879250520471844E-2"/>
                  <c:y val="0"/>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1EC-42FE-B0E6-E19762FCED7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'Paid Leave'!$B$6:$B$7</c:f>
              <c:strCache>
                <c:ptCount val="2"/>
                <c:pt idx="0">
                  <c:v>Vacation Leave</c:v>
                </c:pt>
                <c:pt idx="1">
                  <c:v>Paid Time Off Program</c:v>
                </c:pt>
              </c:strCache>
            </c:strRef>
          </c:cat>
          <c:val>
            <c:numRef>
              <c:f>'Paid Leave'!$D$6:$D$7</c:f>
              <c:numCache>
                <c:formatCode>0%</c:formatCode>
                <c:ptCount val="2"/>
                <c:pt idx="0">
                  <c:v>0.82352941176470584</c:v>
                </c:pt>
                <c:pt idx="1">
                  <c:v>0.17647058823529413</c:v>
                </c:pt>
              </c:numCache>
            </c:numRef>
          </c:val>
          <c:extLst>
            <c:ext xmlns:c16="http://schemas.microsoft.com/office/drawing/2014/chart" uri="{C3380CC4-5D6E-409C-BE32-E72D297353CC}">
              <c16:uniqueId val="{00000004-81EC-42FE-B0E6-E19762FCED73}"/>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'Ret and Health Benefits'!$V$2</c:f>
              <c:strCache>
                <c:ptCount val="1"/>
                <c:pt idx="0">
                  <c:v>Social Security</c:v>
                </c:pt>
              </c:strCache>
            </c:strRef>
          </c:tx>
          <c:spPr>
            <a:solidFill>
              <a:srgbClr val="3B6A80"/>
            </a:solidFill>
          </c:spPr>
          <c:dPt>
            <c:idx val="0"/>
            <c:bubble3D val="0"/>
            <c:spPr>
              <a:solidFill>
                <a:srgbClr val="3B6A80"/>
              </a:solidFill>
              <a:ln w="19050">
                <a:solidFill>
                  <a:schemeClr val="lt1"/>
                </a:solidFill>
              </a:ln>
              <a:effectLst/>
            </c:spPr>
            <c:extLst>
              <c:ext xmlns:c16="http://schemas.microsoft.com/office/drawing/2014/chart" uri="{C3380CC4-5D6E-409C-BE32-E72D297353CC}">
                <c16:uniqueId val="{00000001-6801-4108-990A-67D74AFF834C}"/>
              </c:ext>
            </c:extLst>
          </c:dPt>
          <c:dPt>
            <c:idx val="1"/>
            <c:bubble3D val="0"/>
            <c:spPr>
              <a:solidFill>
                <a:srgbClr val="BF9000"/>
              </a:solidFill>
              <a:ln w="19050">
                <a:solidFill>
                  <a:schemeClr val="lt1"/>
                </a:solidFill>
              </a:ln>
              <a:effectLst/>
            </c:spPr>
            <c:extLst>
              <c:ext xmlns:c16="http://schemas.microsoft.com/office/drawing/2014/chart" uri="{C3380CC4-5D6E-409C-BE32-E72D297353CC}">
                <c16:uniqueId val="{00000003-6801-4108-990A-67D74AFF834C}"/>
              </c:ext>
            </c:extLst>
          </c:dPt>
          <c:dLbls>
            <c:dLbl>
              <c:idx val="0"/>
              <c:layout>
                <c:manualLayout>
                  <c:x val="7.6978260835061915E-2"/>
                  <c:y val="0.1202272911762317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6801-4108-990A-67D74AFF834C}"/>
                </c:ext>
              </c:extLst>
            </c:dLbl>
            <c:dLbl>
              <c:idx val="1"/>
              <c:layout>
                <c:manualLayout>
                  <c:x val="-8.611111111111111E-2"/>
                  <c:y val="-0.138888888888888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6801-4108-990A-67D74AFF834C}"/>
                </c:ext>
              </c:extLst>
            </c:dLbl>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'Ret and Health Benefits'!$U$3:$U$4</c:f>
              <c:strCache>
                <c:ptCount val="2"/>
                <c:pt idx="0">
                  <c:v>Yes</c:v>
                </c:pt>
                <c:pt idx="1">
                  <c:v>No</c:v>
                </c:pt>
              </c:strCache>
            </c:strRef>
          </c:cat>
          <c:val>
            <c:numRef>
              <c:f>'Ret and Health Benefits'!$W$3:$W$4</c:f>
              <c:numCache>
                <c:formatCode>0%</c:formatCode>
                <c:ptCount val="2"/>
                <c:pt idx="0">
                  <c:v>0.7931034482758621</c:v>
                </c:pt>
                <c:pt idx="1">
                  <c:v>0.20689655172413793</c:v>
                </c:pt>
              </c:numCache>
            </c:numRef>
          </c:val>
          <c:extLst>
            <c:ext xmlns:c16="http://schemas.microsoft.com/office/drawing/2014/chart" uri="{C3380CC4-5D6E-409C-BE32-E72D297353CC}">
              <c16:uniqueId val="{00000004-6801-4108-990A-67D74AFF834C}"/>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In-State Participants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756167979002628"/>
          <c:y val="0.13479877730979983"/>
          <c:w val="0.56251868832851581"/>
          <c:h val="0.74530794396472777"/>
        </c:manualLayout>
      </c:layout>
      <c:pieChart>
        <c:varyColors val="1"/>
        <c:ser>
          <c:idx val="0"/>
          <c:order val="0"/>
          <c:dPt>
            <c:idx val="0"/>
            <c:bubble3D val="0"/>
            <c:spPr>
              <a:solidFill>
                <a:srgbClr val="188C57"/>
              </a:solidFill>
              <a:ln w="19050">
                <a:solidFill>
                  <a:schemeClr val="lt1"/>
                </a:solidFill>
              </a:ln>
              <a:effectLst/>
            </c:spPr>
            <c:extLst>
              <c:ext xmlns:c16="http://schemas.microsoft.com/office/drawing/2014/chart" uri="{C3380CC4-5D6E-409C-BE32-E72D297353CC}">
                <c16:uniqueId val="{00000001-DF5A-4F04-ADD6-1131C041A929}"/>
              </c:ext>
            </c:extLst>
          </c:dPt>
          <c:dPt>
            <c:idx val="1"/>
            <c:bubble3D val="0"/>
            <c:spPr>
              <a:solidFill>
                <a:srgbClr val="1DCAD3"/>
              </a:solidFill>
              <a:ln w="19050">
                <a:solidFill>
                  <a:schemeClr val="lt1"/>
                </a:solidFill>
              </a:ln>
              <a:effectLst/>
            </c:spPr>
            <c:extLst>
              <c:ext xmlns:c16="http://schemas.microsoft.com/office/drawing/2014/chart" uri="{C3380CC4-5D6E-409C-BE32-E72D297353CC}">
                <c16:uniqueId val="{00000003-DF5A-4F04-ADD6-1131C041A929}"/>
              </c:ext>
            </c:extLst>
          </c:dPt>
          <c:dPt>
            <c:idx val="2"/>
            <c:bubble3D val="0"/>
            <c:spPr>
              <a:solidFill>
                <a:srgbClr val="3B6A80"/>
              </a:solidFill>
              <a:ln w="19050">
                <a:solidFill>
                  <a:schemeClr val="lt1"/>
                </a:solidFill>
              </a:ln>
              <a:effectLst/>
            </c:spPr>
            <c:extLst>
              <c:ext xmlns:c16="http://schemas.microsoft.com/office/drawing/2014/chart" uri="{C3380CC4-5D6E-409C-BE32-E72D297353CC}">
                <c16:uniqueId val="{00000005-DF5A-4F04-ADD6-1131C041A929}"/>
              </c:ext>
            </c:extLst>
          </c:dPt>
          <c:dLbls>
            <c:dLbl>
              <c:idx val="1"/>
              <c:dLblPos val="inEnd"/>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DF5A-4F04-ADD6-1131C041A929}"/>
                </c:ext>
              </c:extLst>
            </c:dLbl>
            <c:dLbl>
              <c:idx val="2"/>
              <c:dLblPos val="inEnd"/>
              <c:showLegendKey val="0"/>
              <c:showVal val="1"/>
              <c:showCatName val="1"/>
              <c:showSerName val="0"/>
              <c:showPercent val="0"/>
              <c:showBubbleSize val="0"/>
              <c:separator>
</c:separator>
              <c:extLst>
                <c:ext xmlns:c15="http://schemas.microsoft.com/office/drawing/2012/chart" uri="{CE6537A1-D6FC-4f65-9D91-7224C49458BB}">
                  <c15:layout>
                    <c:manualLayout>
                      <c:w val="0.23316455696202532"/>
                      <c:h val="0.16693225197560255"/>
                    </c:manualLayout>
                  </c15:layout>
                </c:ext>
                <c:ext xmlns:c16="http://schemas.microsoft.com/office/drawing/2014/chart" uri="{C3380CC4-5D6E-409C-BE32-E72D297353CC}">
                  <c16:uniqueId val="{00000005-DF5A-4F04-ADD6-1131C041A929}"/>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extLst>
          </c:dLbls>
          <c:cat>
            <c:strRef>
              <c:f>'Ret and Health Benefits'!$W$18:$Y$18</c:f>
              <c:strCache>
                <c:ptCount val="3"/>
                <c:pt idx="0">
                  <c:v>Silver</c:v>
                </c:pt>
                <c:pt idx="1">
                  <c:v>Gold</c:v>
                </c:pt>
                <c:pt idx="2">
                  <c:v>Platinum</c:v>
                </c:pt>
              </c:strCache>
            </c:strRef>
          </c:cat>
          <c:val>
            <c:numRef>
              <c:f>'Ret and Health Benefits'!$W$19:$Y$19</c:f>
              <c:numCache>
                <c:formatCode>0%</c:formatCode>
                <c:ptCount val="3"/>
                <c:pt idx="0">
                  <c:v>6.25E-2</c:v>
                </c:pt>
                <c:pt idx="1">
                  <c:v>0.25</c:v>
                </c:pt>
                <c:pt idx="2">
                  <c:v>0.625</c:v>
                </c:pt>
              </c:numCache>
            </c:numRef>
          </c:val>
          <c:extLst>
            <c:ext xmlns:c16="http://schemas.microsoft.com/office/drawing/2014/chart" uri="{C3380CC4-5D6E-409C-BE32-E72D297353CC}">
              <c16:uniqueId val="{00000006-DF5A-4F04-ADD6-1131C041A92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 Governments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3806438752118"/>
          <c:y val="0.13479877730979983"/>
          <c:w val="0.59627396259011933"/>
          <c:h val="0.79003192306066972"/>
        </c:manualLayout>
      </c:layout>
      <c:pieChart>
        <c:varyColors val="1"/>
        <c:ser>
          <c:idx val="0"/>
          <c:order val="0"/>
          <c:dPt>
            <c:idx val="0"/>
            <c:bubble3D val="0"/>
            <c:spPr>
              <a:solidFill>
                <a:srgbClr val="188C57"/>
              </a:solidFill>
              <a:ln w="19050">
                <a:solidFill>
                  <a:schemeClr val="lt1"/>
                </a:solidFill>
              </a:ln>
              <a:effectLst/>
            </c:spPr>
            <c:extLst>
              <c:ext xmlns:c16="http://schemas.microsoft.com/office/drawing/2014/chart" uri="{C3380CC4-5D6E-409C-BE32-E72D297353CC}">
                <c16:uniqueId val="{00000001-269E-4A52-A1C7-4A731D1E3E0D}"/>
              </c:ext>
            </c:extLst>
          </c:dPt>
          <c:dPt>
            <c:idx val="1"/>
            <c:bubble3D val="0"/>
            <c:spPr>
              <a:solidFill>
                <a:srgbClr val="1DCAD3"/>
              </a:solidFill>
              <a:ln w="19050">
                <a:solidFill>
                  <a:schemeClr val="lt1"/>
                </a:solidFill>
              </a:ln>
              <a:effectLst/>
            </c:spPr>
            <c:extLst>
              <c:ext xmlns:c16="http://schemas.microsoft.com/office/drawing/2014/chart" uri="{C3380CC4-5D6E-409C-BE32-E72D297353CC}">
                <c16:uniqueId val="{00000003-269E-4A52-A1C7-4A731D1E3E0D}"/>
              </c:ext>
            </c:extLst>
          </c:dPt>
          <c:dPt>
            <c:idx val="2"/>
            <c:bubble3D val="0"/>
            <c:spPr>
              <a:solidFill>
                <a:srgbClr val="3B6A80"/>
              </a:solidFill>
              <a:ln w="19050">
                <a:solidFill>
                  <a:schemeClr val="lt1"/>
                </a:solidFill>
              </a:ln>
              <a:effectLst/>
            </c:spPr>
            <c:extLst>
              <c:ext xmlns:c16="http://schemas.microsoft.com/office/drawing/2014/chart" uri="{C3380CC4-5D6E-409C-BE32-E72D297353CC}">
                <c16:uniqueId val="{00000005-269E-4A52-A1C7-4A731D1E3E0D}"/>
              </c:ext>
            </c:extLst>
          </c:dPt>
          <c:dLbls>
            <c:dLbl>
              <c:idx val="2"/>
              <c:dLblPos val="inEnd"/>
              <c:showLegendKey val="0"/>
              <c:showVal val="1"/>
              <c:showCatName val="1"/>
              <c:showSerName val="0"/>
              <c:showPercent val="0"/>
              <c:showBubbleSize val="0"/>
              <c:separator>
</c:separator>
              <c:extLst>
                <c:ext xmlns:c15="http://schemas.microsoft.com/office/drawing/2012/chart" uri="{CE6537A1-D6FC-4f65-9D91-7224C49458BB}">
                  <c15:layout>
                    <c:manualLayout>
                      <c:w val="0.26265822784810128"/>
                      <c:h val="0.16771492160978152"/>
                    </c:manualLayout>
                  </c15:layout>
                </c:ext>
                <c:ext xmlns:c16="http://schemas.microsoft.com/office/drawing/2014/chart" uri="{C3380CC4-5D6E-409C-BE32-E72D297353CC}">
                  <c16:uniqueId val="{00000005-269E-4A52-A1C7-4A731D1E3E0D}"/>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'Ret and Health Benefits'!$W$18:$Y$18</c:f>
              <c:strCache>
                <c:ptCount val="3"/>
                <c:pt idx="0">
                  <c:v>Silver</c:v>
                </c:pt>
                <c:pt idx="1">
                  <c:v>Gold</c:v>
                </c:pt>
                <c:pt idx="2">
                  <c:v>Platinum</c:v>
                </c:pt>
              </c:strCache>
            </c:strRef>
          </c:cat>
          <c:val>
            <c:numRef>
              <c:f>'Ret and Health Benefits'!$W$20:$Y$20</c:f>
              <c:numCache>
                <c:formatCode>0%</c:formatCode>
                <c:ptCount val="3"/>
                <c:pt idx="0">
                  <c:v>0.16666666666666666</c:v>
                </c:pt>
                <c:pt idx="1">
                  <c:v>0.33333333333333331</c:v>
                </c:pt>
                <c:pt idx="2">
                  <c:v>0.5</c:v>
                </c:pt>
              </c:numCache>
            </c:numRef>
          </c:val>
          <c:extLst>
            <c:ext xmlns:c16="http://schemas.microsoft.com/office/drawing/2014/chart" uri="{C3380CC4-5D6E-409C-BE32-E72D297353CC}">
              <c16:uniqueId val="{00000006-269E-4A52-A1C7-4A731D1E3E0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All Survey Participants</a:t>
            </a:r>
          </a:p>
        </c:rich>
      </c:tx>
      <c:layout>
        <c:manualLayout>
          <c:xMode val="edge"/>
          <c:yMode val="edge"/>
          <c:x val="0.24834379879730223"/>
          <c:y val="3.35429843219563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3806438752118"/>
          <c:y val="0.13479877730979983"/>
          <c:w val="0.59627396259011933"/>
          <c:h val="0.79003192306066972"/>
        </c:manualLayout>
      </c:layout>
      <c:pieChart>
        <c:varyColors val="1"/>
        <c:ser>
          <c:idx val="0"/>
          <c:order val="0"/>
          <c:dPt>
            <c:idx val="0"/>
            <c:bubble3D val="0"/>
            <c:spPr>
              <a:solidFill>
                <a:srgbClr val="188C57"/>
              </a:solidFill>
              <a:ln w="19050">
                <a:solidFill>
                  <a:schemeClr val="lt1"/>
                </a:solidFill>
              </a:ln>
              <a:effectLst/>
            </c:spPr>
            <c:extLst>
              <c:ext xmlns:c16="http://schemas.microsoft.com/office/drawing/2014/chart" uri="{C3380CC4-5D6E-409C-BE32-E72D297353CC}">
                <c16:uniqueId val="{00000001-845B-4515-87F4-ABC8212B0634}"/>
              </c:ext>
            </c:extLst>
          </c:dPt>
          <c:dPt>
            <c:idx val="1"/>
            <c:bubble3D val="0"/>
            <c:spPr>
              <a:solidFill>
                <a:srgbClr val="1DCAD3"/>
              </a:solidFill>
              <a:ln w="19050">
                <a:solidFill>
                  <a:schemeClr val="lt1"/>
                </a:solidFill>
              </a:ln>
              <a:effectLst/>
            </c:spPr>
            <c:extLst>
              <c:ext xmlns:c16="http://schemas.microsoft.com/office/drawing/2014/chart" uri="{C3380CC4-5D6E-409C-BE32-E72D297353CC}">
                <c16:uniqueId val="{00000003-845B-4515-87F4-ABC8212B0634}"/>
              </c:ext>
            </c:extLst>
          </c:dPt>
          <c:dPt>
            <c:idx val="2"/>
            <c:bubble3D val="0"/>
            <c:spPr>
              <a:solidFill>
                <a:srgbClr val="3B6A80"/>
              </a:solidFill>
              <a:ln w="19050">
                <a:solidFill>
                  <a:schemeClr val="lt1"/>
                </a:solidFill>
              </a:ln>
              <a:effectLst/>
            </c:spPr>
            <c:extLst>
              <c:ext xmlns:c16="http://schemas.microsoft.com/office/drawing/2014/chart" uri="{C3380CC4-5D6E-409C-BE32-E72D297353CC}">
                <c16:uniqueId val="{00000005-845B-4515-87F4-ABC8212B0634}"/>
              </c:ext>
            </c:extLst>
          </c:dPt>
          <c:dLbls>
            <c:dLbl>
              <c:idx val="2"/>
              <c:dLblPos val="inEnd"/>
              <c:showLegendKey val="0"/>
              <c:showVal val="1"/>
              <c:showCatName val="1"/>
              <c:showSerName val="0"/>
              <c:showPercent val="0"/>
              <c:showBubbleSize val="0"/>
              <c:separator>
</c:separator>
              <c:extLst>
                <c:ext xmlns:c15="http://schemas.microsoft.com/office/drawing/2012/chart" uri="{CE6537A1-D6FC-4f65-9D91-7224C49458BB}">
                  <c15:layout>
                    <c:manualLayout>
                      <c:w val="0.24578059071729957"/>
                      <c:h val="0.16771492160978152"/>
                    </c:manualLayout>
                  </c15:layout>
                </c:ext>
                <c:ext xmlns:c16="http://schemas.microsoft.com/office/drawing/2014/chart" uri="{C3380CC4-5D6E-409C-BE32-E72D297353CC}">
                  <c16:uniqueId val="{00000005-845B-4515-87F4-ABC8212B0634}"/>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'Ret and Health Benefits'!$W$18:$Y$18</c:f>
              <c:strCache>
                <c:ptCount val="3"/>
                <c:pt idx="0">
                  <c:v>Silver</c:v>
                </c:pt>
                <c:pt idx="1">
                  <c:v>Gold</c:v>
                </c:pt>
                <c:pt idx="2">
                  <c:v>Platinum</c:v>
                </c:pt>
              </c:strCache>
            </c:strRef>
          </c:cat>
          <c:val>
            <c:numRef>
              <c:f>'Ret and Health Benefits'!$W$21:$Y$21</c:f>
              <c:numCache>
                <c:formatCode>0%</c:formatCode>
                <c:ptCount val="3"/>
                <c:pt idx="0">
                  <c:v>9.0909090909090912E-2</c:v>
                </c:pt>
                <c:pt idx="1">
                  <c:v>0.27272727272727271</c:v>
                </c:pt>
                <c:pt idx="2">
                  <c:v>0.59090909090909094</c:v>
                </c:pt>
              </c:numCache>
            </c:numRef>
          </c:val>
          <c:extLst>
            <c:ext xmlns:c16="http://schemas.microsoft.com/office/drawing/2014/chart" uri="{C3380CC4-5D6E-409C-BE32-E72D297353CC}">
              <c16:uniqueId val="{00000006-845B-4515-87F4-ABC8212B0634}"/>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Do Your Employees Contribute to Social Security?</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'Ret and Health Benefits'!$AB$2</c:f>
              <c:strCache>
                <c:ptCount val="1"/>
                <c:pt idx="0">
                  <c:v>Yes</c:v>
                </c:pt>
              </c:strCache>
            </c:strRef>
          </c:tx>
          <c:spPr>
            <a:solidFill>
              <a:srgbClr val="19658B"/>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'Ret and Health Benefits'!$Y$3:$Y$5</c:f>
              <c:strCache>
                <c:ptCount val="3"/>
                <c:pt idx="0">
                  <c:v>In-State Public Sector</c:v>
                </c:pt>
                <c:pt idx="1">
                  <c:v>State Governments</c:v>
                </c:pt>
                <c:pt idx="2">
                  <c:v>All Participants</c:v>
                </c:pt>
              </c:strCache>
            </c:strRef>
          </c:cat>
          <c:val>
            <c:numRef>
              <c:f>'Ret and Health Benefits'!$AB$3:$AB$5</c:f>
              <c:numCache>
                <c:formatCode>0%</c:formatCode>
                <c:ptCount val="3"/>
                <c:pt idx="0">
                  <c:v>0.80952380952380953</c:v>
                </c:pt>
                <c:pt idx="1">
                  <c:v>0.75</c:v>
                </c:pt>
                <c:pt idx="2">
                  <c:v>0.7931034482758621</c:v>
                </c:pt>
              </c:numCache>
            </c:numRef>
          </c:val>
          <c:extLst>
            <c:ext xmlns:c16="http://schemas.microsoft.com/office/drawing/2014/chart" uri="{C3380CC4-5D6E-409C-BE32-E72D297353CC}">
              <c16:uniqueId val="{00000000-9159-496D-8B06-1CB6EAB90E3B}"/>
            </c:ext>
          </c:extLst>
        </c:ser>
        <c:ser>
          <c:idx val="1"/>
          <c:order val="1"/>
          <c:tx>
            <c:strRef>
              <c:f>'Ret and Health Benefits'!$AC$2</c:f>
              <c:strCache>
                <c:ptCount val="1"/>
                <c:pt idx="0">
                  <c:v>No</c:v>
                </c:pt>
              </c:strCache>
            </c:strRef>
          </c:tx>
          <c:spPr>
            <a:solidFill>
              <a:srgbClr val="BF9000"/>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'Ret and Health Benefits'!$Y$3:$Y$5</c:f>
              <c:strCache>
                <c:ptCount val="3"/>
                <c:pt idx="0">
                  <c:v>In-State Public Sector</c:v>
                </c:pt>
                <c:pt idx="1">
                  <c:v>State Governments</c:v>
                </c:pt>
                <c:pt idx="2">
                  <c:v>All Participants</c:v>
                </c:pt>
              </c:strCache>
            </c:strRef>
          </c:cat>
          <c:val>
            <c:numRef>
              <c:f>'Ret and Health Benefits'!$AC$3:$AC$5</c:f>
              <c:numCache>
                <c:formatCode>0%</c:formatCode>
                <c:ptCount val="3"/>
                <c:pt idx="0">
                  <c:v>0.19047619047619047</c:v>
                </c:pt>
                <c:pt idx="1">
                  <c:v>0.25</c:v>
                </c:pt>
                <c:pt idx="2">
                  <c:v>0.20689655172413793</c:v>
                </c:pt>
              </c:numCache>
            </c:numRef>
          </c:val>
          <c:extLst>
            <c:ext xmlns:c16="http://schemas.microsoft.com/office/drawing/2014/chart" uri="{C3380CC4-5D6E-409C-BE32-E72D297353CC}">
              <c16:uniqueId val="{00000001-9159-496D-8B06-1CB6EAB90E3B}"/>
            </c:ext>
          </c:extLst>
        </c:ser>
        <c:dLbls>
          <c:showLegendKey val="0"/>
          <c:showVal val="0"/>
          <c:showCatName val="0"/>
          <c:showSerName val="0"/>
          <c:showPercent val="0"/>
          <c:showBubbleSize val="0"/>
        </c:dLbls>
        <c:gapWidth val="150"/>
        <c:overlap val="100"/>
        <c:axId val="842159064"/>
        <c:axId val="842156112"/>
      </c:barChart>
      <c:catAx>
        <c:axId val="842159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42156112"/>
        <c:crosses val="autoZero"/>
        <c:auto val="1"/>
        <c:lblAlgn val="ctr"/>
        <c:lblOffset val="100"/>
        <c:noMultiLvlLbl val="0"/>
      </c:catAx>
      <c:valAx>
        <c:axId val="8421561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421590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4568"/>
              </a:solidFill>
              <a:ln w="19050">
                <a:solidFill>
                  <a:schemeClr val="lt1"/>
                </a:solidFill>
              </a:ln>
              <a:effectLst/>
            </c:spPr>
            <c:extLst>
              <c:ext xmlns:c16="http://schemas.microsoft.com/office/drawing/2014/chart" uri="{C3380CC4-5D6E-409C-BE32-E72D297353CC}">
                <c16:uniqueId val="{00000001-2C17-46A7-97D7-9A616C6AECBB}"/>
              </c:ext>
            </c:extLst>
          </c:dPt>
          <c:dPt>
            <c:idx val="1"/>
            <c:bubble3D val="0"/>
            <c:spPr>
              <a:solidFill>
                <a:srgbClr val="BF9000"/>
              </a:solidFill>
              <a:ln w="19050">
                <a:solidFill>
                  <a:schemeClr val="lt1"/>
                </a:solidFill>
              </a:ln>
              <a:effectLst/>
            </c:spPr>
            <c:extLst>
              <c:ext xmlns:c16="http://schemas.microsoft.com/office/drawing/2014/chart" uri="{C3380CC4-5D6E-409C-BE32-E72D297353CC}">
                <c16:uniqueId val="{00000003-2C17-46A7-97D7-9A616C6AECBB}"/>
              </c:ext>
            </c:extLst>
          </c:dPt>
          <c:dPt>
            <c:idx val="2"/>
            <c:bubble3D val="0"/>
            <c:spPr>
              <a:solidFill>
                <a:srgbClr val="0074AF"/>
              </a:solidFill>
              <a:ln w="19050">
                <a:solidFill>
                  <a:schemeClr val="lt1"/>
                </a:solidFill>
              </a:ln>
              <a:effectLst/>
            </c:spPr>
            <c:extLst>
              <c:ext xmlns:c16="http://schemas.microsoft.com/office/drawing/2014/chart" uri="{C3380CC4-5D6E-409C-BE32-E72D297353CC}">
                <c16:uniqueId val="{00000005-2C17-46A7-97D7-9A616C6AECBB}"/>
              </c:ext>
            </c:extLst>
          </c:dPt>
          <c:dPt>
            <c:idx val="3"/>
            <c:bubble3D val="0"/>
            <c:spPr>
              <a:solidFill>
                <a:srgbClr val="528286"/>
              </a:solidFill>
              <a:ln w="19050">
                <a:solidFill>
                  <a:schemeClr val="lt1"/>
                </a:solidFill>
              </a:ln>
              <a:effectLst/>
            </c:spPr>
            <c:extLst>
              <c:ext xmlns:c16="http://schemas.microsoft.com/office/drawing/2014/chart" uri="{C3380CC4-5D6E-409C-BE32-E72D297353CC}">
                <c16:uniqueId val="{00000007-2C17-46A7-97D7-9A616C6AECB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17-46A7-97D7-9A616C6AECBB}"/>
              </c:ext>
            </c:extLst>
          </c:dPt>
          <c:dLbls>
            <c:dLbl>
              <c:idx val="0"/>
              <c:layout>
                <c:manualLayout>
                  <c:x val="0.16881998277347116"/>
                  <c:y val="-6.1919504643962883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2C17-46A7-97D7-9A616C6AECBB}"/>
                </c:ext>
              </c:extLst>
            </c:dLbl>
            <c:dLbl>
              <c:idx val="1"/>
              <c:layout>
                <c:manualLayout>
                  <c:x val="-0.13264427217915592"/>
                  <c:y val="0.1197110423116615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2C17-46A7-97D7-9A616C6AECBB}"/>
                </c:ext>
              </c:extLst>
            </c:dLbl>
            <c:dLbl>
              <c:idx val="2"/>
              <c:layout>
                <c:manualLayout>
                  <c:x val="-0.1739879414298019"/>
                  <c:y val="-0.1857585139318885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2C17-46A7-97D7-9A616C6AECBB}"/>
                </c:ext>
              </c:extLst>
            </c:dLbl>
            <c:dLbl>
              <c:idx val="3"/>
              <c:layout>
                <c:manualLayout>
                  <c:x val="-0.13886691053631794"/>
                  <c:y val="-2.428216916176277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2C17-46A7-97D7-9A616C6AECBB}"/>
                </c:ext>
              </c:extLst>
            </c:dLbl>
            <c:dLbl>
              <c:idx val="4"/>
              <c:layout>
                <c:manualLayout>
                  <c:x val="-7.4960766033595347E-2"/>
                  <c:y val="-0.16053549126803776"/>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2C17-46A7-97D7-9A616C6AECBB}"/>
                </c:ext>
              </c:extLst>
            </c:dLbl>
            <c:spPr>
              <a:noFill/>
              <a:ln>
                <a:noFill/>
              </a:ln>
              <a:effectLst/>
            </c:spPr>
            <c:txPr>
              <a:bodyPr rot="0" spcFirstLastPara="1" vertOverflow="overflow" horzOverflow="overflow"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'Employee Engagement'!$K$11:$K$15</c:f>
              <c:strCache>
                <c:ptCount val="5"/>
                <c:pt idx="0">
                  <c:v>Ad hoc (no regular frequency)</c:v>
                </c:pt>
                <c:pt idx="1">
                  <c:v>Annually</c:v>
                </c:pt>
                <c:pt idx="2">
                  <c:v>Every 2-3 years</c:v>
                </c:pt>
                <c:pt idx="3">
                  <c:v>Every five years</c:v>
                </c:pt>
                <c:pt idx="4">
                  <c:v>Other</c:v>
                </c:pt>
              </c:strCache>
            </c:strRef>
          </c:cat>
          <c:val>
            <c:numRef>
              <c:f>'Employee Engagement'!$M$11:$M$15</c:f>
              <c:numCache>
                <c:formatCode>0%</c:formatCode>
                <c:ptCount val="5"/>
                <c:pt idx="0">
                  <c:v>0.4</c:v>
                </c:pt>
                <c:pt idx="1">
                  <c:v>0.33333333333333331</c:v>
                </c:pt>
                <c:pt idx="2">
                  <c:v>0</c:v>
                </c:pt>
                <c:pt idx="3">
                  <c:v>0</c:v>
                </c:pt>
                <c:pt idx="4">
                  <c:v>0.26666666666666666</c:v>
                </c:pt>
              </c:numCache>
            </c:numRef>
          </c:val>
          <c:extLst>
            <c:ext xmlns:c16="http://schemas.microsoft.com/office/drawing/2014/chart" uri="{C3380CC4-5D6E-409C-BE32-E72D297353CC}">
              <c16:uniqueId val="{0000000A-2C17-46A7-97D7-9A616C6AECBB}"/>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'Employee Engagement'!$D$29</c:f>
              <c:strCache>
                <c:ptCount val="1"/>
                <c:pt idx="0">
                  <c:v>Median</c:v>
                </c:pt>
              </c:strCache>
            </c:strRef>
          </c:tx>
          <c:spPr>
            <a:solidFill>
              <a:schemeClr val="accent5"/>
            </a:solidFill>
            <a:ln>
              <a:noFill/>
            </a:ln>
            <a:effectLst/>
          </c:spPr>
          <c:invertIfNegative val="0"/>
          <c:dPt>
            <c:idx val="0"/>
            <c:invertIfNegative val="0"/>
            <c:bubble3D val="0"/>
            <c:spPr>
              <a:solidFill>
                <a:srgbClr val="004568"/>
              </a:solidFill>
              <a:ln>
                <a:noFill/>
              </a:ln>
              <a:effectLst/>
            </c:spPr>
            <c:extLst>
              <c:ext xmlns:c16="http://schemas.microsoft.com/office/drawing/2014/chart" uri="{C3380CC4-5D6E-409C-BE32-E72D297353CC}">
                <c16:uniqueId val="{00000001-42B1-459D-8ECC-A79D223C386F}"/>
              </c:ext>
            </c:extLst>
          </c:dPt>
          <c:dPt>
            <c:idx val="1"/>
            <c:invertIfNegative val="0"/>
            <c:bubble3D val="0"/>
            <c:spPr>
              <a:solidFill>
                <a:srgbClr val="004568"/>
              </a:solidFill>
              <a:ln>
                <a:noFill/>
              </a:ln>
              <a:effectLst/>
            </c:spPr>
            <c:extLst>
              <c:ext xmlns:c16="http://schemas.microsoft.com/office/drawing/2014/chart" uri="{C3380CC4-5D6E-409C-BE32-E72D297353CC}">
                <c16:uniqueId val="{00000003-42B1-459D-8ECC-A79D223C386F}"/>
              </c:ext>
            </c:extLst>
          </c:dPt>
          <c:dPt>
            <c:idx val="2"/>
            <c:invertIfNegative val="0"/>
            <c:bubble3D val="0"/>
            <c:spPr>
              <a:solidFill>
                <a:srgbClr val="004568"/>
              </a:solidFill>
              <a:ln>
                <a:noFill/>
              </a:ln>
              <a:effectLst/>
            </c:spPr>
            <c:extLst>
              <c:ext xmlns:c16="http://schemas.microsoft.com/office/drawing/2014/chart" uri="{C3380CC4-5D6E-409C-BE32-E72D297353CC}">
                <c16:uniqueId val="{00000005-42B1-459D-8ECC-A79D223C386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'Employee Engagement'!$B$30:$B$32</c:f>
              <c:strCache>
                <c:ptCount val="3"/>
                <c:pt idx="0">
                  <c:v>In-State Public Sector</c:v>
                </c:pt>
                <c:pt idx="1">
                  <c:v>State Governments</c:v>
                </c:pt>
                <c:pt idx="2">
                  <c:v>All Participants</c:v>
                </c:pt>
              </c:strCache>
            </c:strRef>
          </c:cat>
          <c:val>
            <c:numRef>
              <c:f>'Employee Engagement'!$D$30:$D$32</c:f>
              <c:numCache>
                <c:formatCode>0%</c:formatCode>
                <c:ptCount val="3"/>
                <c:pt idx="0">
                  <c:v>8.1764508554176454E-2</c:v>
                </c:pt>
                <c:pt idx="1">
                  <c:v>0.14000000000000001</c:v>
                </c:pt>
                <c:pt idx="2">
                  <c:v>0.09</c:v>
                </c:pt>
              </c:numCache>
            </c:numRef>
          </c:val>
          <c:extLst>
            <c:ext xmlns:c16="http://schemas.microsoft.com/office/drawing/2014/chart" uri="{C3380CC4-5D6E-409C-BE32-E72D297353CC}">
              <c16:uniqueId val="{00000006-42B1-459D-8ECC-A79D223C386F}"/>
            </c:ext>
          </c:extLst>
        </c:ser>
        <c:dLbls>
          <c:showLegendKey val="0"/>
          <c:showVal val="0"/>
          <c:showCatName val="0"/>
          <c:showSerName val="0"/>
          <c:showPercent val="0"/>
          <c:showBubbleSize val="0"/>
        </c:dLbls>
        <c:gapWidth val="75"/>
        <c:axId val="162190768"/>
        <c:axId val="162194928"/>
      </c:barChart>
      <c:catAx>
        <c:axId val="16219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2194928"/>
        <c:crosses val="autoZero"/>
        <c:auto val="1"/>
        <c:lblAlgn val="ctr"/>
        <c:lblOffset val="100"/>
        <c:noMultiLvlLbl val="0"/>
      </c:catAx>
      <c:valAx>
        <c:axId val="162194928"/>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US" b="1"/>
                  <a:t>Median Annual Turnover Percentage</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219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'Survey Participants'!$H$4</c:f>
              <c:strCache>
                <c:ptCount val="1"/>
                <c:pt idx="0">
                  <c:v>Number</c:v>
                </c:pt>
              </c:strCache>
            </c:strRef>
          </c:tx>
          <c:dPt>
            <c:idx val="0"/>
            <c:bubble3D val="0"/>
            <c:spPr>
              <a:solidFill>
                <a:srgbClr val="528286"/>
              </a:solidFill>
              <a:ln w="19050">
                <a:solidFill>
                  <a:schemeClr val="lt1"/>
                </a:solidFill>
              </a:ln>
              <a:effectLst/>
            </c:spPr>
            <c:extLst>
              <c:ext xmlns:c16="http://schemas.microsoft.com/office/drawing/2014/chart" uri="{C3380CC4-5D6E-409C-BE32-E72D297353CC}">
                <c16:uniqueId val="{00000001-1C26-4458-AAF3-0305D912F5FA}"/>
              </c:ext>
            </c:extLst>
          </c:dPt>
          <c:dPt>
            <c:idx val="1"/>
            <c:bubble3D val="0"/>
            <c:spPr>
              <a:solidFill>
                <a:srgbClr val="0074AF"/>
              </a:solidFill>
              <a:ln w="19050">
                <a:solidFill>
                  <a:schemeClr val="lt1"/>
                </a:solidFill>
              </a:ln>
              <a:effectLst/>
            </c:spPr>
            <c:extLst>
              <c:ext xmlns:c16="http://schemas.microsoft.com/office/drawing/2014/chart" uri="{C3380CC4-5D6E-409C-BE32-E72D297353CC}">
                <c16:uniqueId val="{00000003-1C26-4458-AAF3-0305D912F5FA}"/>
              </c:ext>
            </c:extLst>
          </c:dPt>
          <c:dPt>
            <c:idx val="2"/>
            <c:bubble3D val="0"/>
            <c:spPr>
              <a:solidFill>
                <a:srgbClr val="004568"/>
              </a:solidFill>
              <a:ln w="19050">
                <a:solidFill>
                  <a:schemeClr val="lt1"/>
                </a:solidFill>
              </a:ln>
              <a:effectLst/>
            </c:spPr>
            <c:extLst>
              <c:ext xmlns:c16="http://schemas.microsoft.com/office/drawing/2014/chart" uri="{C3380CC4-5D6E-409C-BE32-E72D297353CC}">
                <c16:uniqueId val="{00000005-1C26-4458-AAF3-0305D912F5FA}"/>
              </c:ext>
            </c:extLst>
          </c:dPt>
          <c:dPt>
            <c:idx val="3"/>
            <c:bubble3D val="0"/>
            <c:spPr>
              <a:solidFill>
                <a:srgbClr val="BF9000"/>
              </a:solidFill>
              <a:ln w="19050">
                <a:solidFill>
                  <a:schemeClr val="lt1"/>
                </a:solidFill>
              </a:ln>
              <a:effectLst/>
            </c:spPr>
            <c:extLst>
              <c:ext xmlns:c16="http://schemas.microsoft.com/office/drawing/2014/chart" uri="{C3380CC4-5D6E-409C-BE32-E72D297353CC}">
                <c16:uniqueId val="{00000007-1C26-4458-AAF3-0305D912F5FA}"/>
              </c:ext>
            </c:extLst>
          </c:dPt>
          <c:dLbls>
            <c:dLbl>
              <c:idx val="0"/>
              <c:layout>
                <c:manualLayout>
                  <c:x val="0.14529915290466736"/>
                  <c:y val="-0.1279945174001995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1C26-4458-AAF3-0305D912F5FA}"/>
                </c:ext>
              </c:extLst>
            </c:dLbl>
            <c:dLbl>
              <c:idx val="1"/>
              <c:layout>
                <c:manualLayout>
                  <c:x val="0.15660023485657437"/>
                  <c:y val="0.1333737834485461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1C26-4458-AAF3-0305D912F5FA}"/>
                </c:ext>
              </c:extLst>
            </c:dLbl>
            <c:dLbl>
              <c:idx val="2"/>
              <c:layout>
                <c:manualLayout>
                  <c:x val="-0.15378408497416909"/>
                  <c:y val="8.9367285562921964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1C26-4458-AAF3-0305D912F5FA}"/>
                </c:ext>
              </c:extLst>
            </c:dLbl>
            <c:dLbl>
              <c:idx val="3"/>
              <c:layout>
                <c:manualLayout>
                  <c:x val="-0.14529915290466736"/>
                  <c:y val="4.6543460872799838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1C26-4458-AAF3-0305D912F5FA}"/>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'Survey Participants'!$G$5:$G$8</c:f>
              <c:strCache>
                <c:ptCount val="4"/>
                <c:pt idx="0">
                  <c:v>Puget Sound Area (King, Pierce, Snohomish)</c:v>
                </c:pt>
                <c:pt idx="1">
                  <c:v>Western Washington (exlcuding Puget Sound)</c:v>
                </c:pt>
                <c:pt idx="2">
                  <c:v>Eastern Washington</c:v>
                </c:pt>
                <c:pt idx="3">
                  <c:v>Out of State</c:v>
                </c:pt>
              </c:strCache>
            </c:strRef>
          </c:cat>
          <c:val>
            <c:numRef>
              <c:f>'Survey Participants'!$I$5:$I$8</c:f>
              <c:numCache>
                <c:formatCode>0%</c:formatCode>
                <c:ptCount val="4"/>
                <c:pt idx="0">
                  <c:v>0.35135135135135137</c:v>
                </c:pt>
                <c:pt idx="1">
                  <c:v>0.13513513513513514</c:v>
                </c:pt>
                <c:pt idx="2">
                  <c:v>0.10810810810810811</c:v>
                </c:pt>
                <c:pt idx="3">
                  <c:v>0.40540540540540543</c:v>
                </c:pt>
              </c:numCache>
            </c:numRef>
          </c:val>
          <c:extLst>
            <c:ext xmlns:c16="http://schemas.microsoft.com/office/drawing/2014/chart" uri="{C3380CC4-5D6E-409C-BE32-E72D297353CC}">
              <c16:uniqueId val="{00000000-854F-4802-8DBA-A207ED2DC7FA}"/>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'Survey Participants'!$Z$2</c:f>
              <c:strCache>
                <c:ptCount val="1"/>
                <c:pt idx="0">
                  <c:v>Size of survey participants</c:v>
                </c:pt>
              </c:strCache>
            </c:strRef>
          </c:tx>
          <c:dPt>
            <c:idx val="0"/>
            <c:bubble3D val="0"/>
            <c:spPr>
              <a:solidFill>
                <a:srgbClr val="004568"/>
              </a:solidFill>
              <a:ln w="19050">
                <a:solidFill>
                  <a:schemeClr val="lt1"/>
                </a:solidFill>
              </a:ln>
              <a:effectLst/>
            </c:spPr>
            <c:extLst>
              <c:ext xmlns:c16="http://schemas.microsoft.com/office/drawing/2014/chart" uri="{C3380CC4-5D6E-409C-BE32-E72D297353CC}">
                <c16:uniqueId val="{00000003-568D-4998-A960-02FFFB00045D}"/>
              </c:ext>
            </c:extLst>
          </c:dPt>
          <c:dPt>
            <c:idx val="1"/>
            <c:bubble3D val="0"/>
            <c:spPr>
              <a:solidFill>
                <a:srgbClr val="BF9000"/>
              </a:solidFill>
              <a:ln w="19050">
                <a:solidFill>
                  <a:schemeClr val="lt1"/>
                </a:solidFill>
              </a:ln>
              <a:effectLst/>
            </c:spPr>
            <c:extLst>
              <c:ext xmlns:c16="http://schemas.microsoft.com/office/drawing/2014/chart" uri="{C3380CC4-5D6E-409C-BE32-E72D297353CC}">
                <c16:uniqueId val="{00000004-568D-4998-A960-02FFFB00045D}"/>
              </c:ext>
            </c:extLst>
          </c:dPt>
          <c:dPt>
            <c:idx val="2"/>
            <c:bubble3D val="0"/>
            <c:spPr>
              <a:solidFill>
                <a:srgbClr val="0074AF"/>
              </a:solidFill>
              <a:ln w="19050">
                <a:solidFill>
                  <a:schemeClr val="lt1"/>
                </a:solidFill>
              </a:ln>
              <a:effectLst/>
            </c:spPr>
            <c:extLst>
              <c:ext xmlns:c16="http://schemas.microsoft.com/office/drawing/2014/chart" uri="{C3380CC4-5D6E-409C-BE32-E72D297353CC}">
                <c16:uniqueId val="{00000005-55CF-4D5F-85C2-6939650EA046}"/>
              </c:ext>
            </c:extLst>
          </c:dPt>
          <c:dPt>
            <c:idx val="3"/>
            <c:bubble3D val="0"/>
            <c:spPr>
              <a:solidFill>
                <a:srgbClr val="528286"/>
              </a:solidFill>
              <a:ln w="19050">
                <a:solidFill>
                  <a:schemeClr val="lt1"/>
                </a:solidFill>
              </a:ln>
              <a:effectLst/>
            </c:spPr>
            <c:extLst>
              <c:ext xmlns:c16="http://schemas.microsoft.com/office/drawing/2014/chart" uri="{C3380CC4-5D6E-409C-BE32-E72D297353CC}">
                <c16:uniqueId val="{00000002-568D-4998-A960-02FFFB00045D}"/>
              </c:ext>
            </c:extLst>
          </c:dPt>
          <c:dLbls>
            <c:dLbl>
              <c:idx val="0"/>
              <c:layout>
                <c:manualLayout>
                  <c:x val="1.3460462276789499E-2"/>
                  <c:y val="-2.7434842249657062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568D-4998-A960-02FFFB00045D}"/>
                </c:ext>
              </c:extLst>
            </c:dLbl>
            <c:dLbl>
              <c:idx val="1"/>
              <c:layout>
                <c:manualLayout>
                  <c:x val="6.6737042626916973E-4"/>
                  <c:y val="-1.097393689986282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568D-4998-A960-02FFFB00045D}"/>
                </c:ext>
              </c:extLst>
            </c:dLbl>
            <c:dLbl>
              <c:idx val="3"/>
              <c:layout>
                <c:manualLayout>
                  <c:x val="1.9189768680182108E-2"/>
                  <c:y val="-2.4691358024691357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568D-4998-A960-02FFFB00045D}"/>
                </c:ext>
              </c:extLst>
            </c:dLbl>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'Survey Participants'!$Z$5:$Z$8</c:f>
              <c:strCache>
                <c:ptCount val="4"/>
                <c:pt idx="0">
                  <c:v>Fewer than 199 FTEs</c:v>
                </c:pt>
                <c:pt idx="1">
                  <c:v>200 to 999 FTEs</c:v>
                </c:pt>
                <c:pt idx="2">
                  <c:v>1,000 to 4,999 FTEs</c:v>
                </c:pt>
                <c:pt idx="3">
                  <c:v>5,000 or more FTEs</c:v>
                </c:pt>
              </c:strCache>
            </c:strRef>
          </c:cat>
          <c:val>
            <c:numRef>
              <c:f>'Survey Participants'!$AF$5:$AF$8</c:f>
              <c:numCache>
                <c:formatCode>0%</c:formatCode>
                <c:ptCount val="4"/>
                <c:pt idx="0">
                  <c:v>6.6666666666666666E-2</c:v>
                </c:pt>
                <c:pt idx="1">
                  <c:v>0.3</c:v>
                </c:pt>
                <c:pt idx="2">
                  <c:v>0.33333333333333331</c:v>
                </c:pt>
                <c:pt idx="3">
                  <c:v>0.3</c:v>
                </c:pt>
              </c:numCache>
            </c:numRef>
          </c:val>
          <c:extLst>
            <c:ext xmlns:c16="http://schemas.microsoft.com/office/drawing/2014/chart" uri="{C3380CC4-5D6E-409C-BE32-E72D297353CC}">
              <c16:uniqueId val="{00000000-568D-4998-A960-02FFFB00045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'Survey Participants'!$BD$20</c:f>
              <c:strCache>
                <c:ptCount val="1"/>
                <c:pt idx="0">
                  <c:v>Regular workweek hours for most full-time employees</c:v>
                </c:pt>
              </c:strCache>
            </c:strRef>
          </c:tx>
          <c:spPr>
            <a:solidFill>
              <a:srgbClr val="BF9000"/>
            </a:solidFill>
          </c:spPr>
          <c:dPt>
            <c:idx val="0"/>
            <c:bubble3D val="0"/>
            <c:spPr>
              <a:solidFill>
                <a:srgbClr val="004568"/>
              </a:solidFill>
              <a:ln w="19050">
                <a:solidFill>
                  <a:schemeClr val="lt1"/>
                </a:solidFill>
              </a:ln>
              <a:effectLst/>
            </c:spPr>
            <c:extLst>
              <c:ext xmlns:c16="http://schemas.microsoft.com/office/drawing/2014/chart" uri="{C3380CC4-5D6E-409C-BE32-E72D297353CC}">
                <c16:uniqueId val="{00000001-10CE-4EC9-B6FC-6507774369AA}"/>
              </c:ext>
            </c:extLst>
          </c:dPt>
          <c:dPt>
            <c:idx val="1"/>
            <c:bubble3D val="0"/>
            <c:spPr>
              <a:solidFill>
                <a:srgbClr val="BF9000"/>
              </a:solidFill>
              <a:ln w="19050">
                <a:solidFill>
                  <a:schemeClr val="lt1"/>
                </a:solidFill>
              </a:ln>
              <a:effectLst/>
            </c:spPr>
            <c:extLst>
              <c:ext xmlns:c16="http://schemas.microsoft.com/office/drawing/2014/chart" uri="{C3380CC4-5D6E-409C-BE32-E72D297353CC}">
                <c16:uniqueId val="{00000003-10CE-4EC9-B6FC-6507774369AA}"/>
              </c:ext>
            </c:extLst>
          </c:dPt>
          <c:dLbls>
            <c:dLbl>
              <c:idx val="0"/>
              <c:layout>
                <c:manualLayout>
                  <c:x val="9.0288713910761154E-2"/>
                  <c:y val="-0.14892536808258591"/>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10CE-4EC9-B6FC-6507774369AA}"/>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'Survey Participants'!$BL$41:$BL$42</c:f>
              <c:strCache>
                <c:ptCount val="2"/>
                <c:pt idx="0">
                  <c:v>&lt; 40 hours</c:v>
                </c:pt>
                <c:pt idx="1">
                  <c:v>40 hours</c:v>
                </c:pt>
              </c:strCache>
            </c:strRef>
          </c:cat>
          <c:val>
            <c:numRef>
              <c:f>'Survey Participants'!$BM$41:$BM$42</c:f>
              <c:numCache>
                <c:formatCode>0%</c:formatCode>
                <c:ptCount val="2"/>
                <c:pt idx="0">
                  <c:v>3.0303030303030276E-2</c:v>
                </c:pt>
                <c:pt idx="1">
                  <c:v>0.96969696969696972</c:v>
                </c:pt>
              </c:numCache>
            </c:numRef>
          </c:val>
          <c:extLst>
            <c:ext xmlns:c16="http://schemas.microsoft.com/office/drawing/2014/chart" uri="{C3380CC4-5D6E-409C-BE32-E72D297353CC}">
              <c16:uniqueId val="{00000008-10CE-4EC9-B6FC-6507774369AA}"/>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67432274936753"/>
          <c:y val="9.2678137455040346E-2"/>
          <c:w val="0.63522897182978477"/>
          <c:h val="0.72410874566605099"/>
        </c:manualLayout>
      </c:layout>
      <c:doughnutChart>
        <c:varyColors val="1"/>
        <c:ser>
          <c:idx val="0"/>
          <c:order val="0"/>
          <c:tx>
            <c:strRef>
              <c:f>'Survey Participants'!$AI$20</c:f>
              <c:strCache>
                <c:ptCount val="1"/>
              </c:strCache>
            </c:strRef>
          </c:tx>
          <c:dPt>
            <c:idx val="0"/>
            <c:bubble3D val="0"/>
            <c:spPr>
              <a:solidFill>
                <a:srgbClr val="004568"/>
              </a:solidFill>
              <a:ln w="19050">
                <a:solidFill>
                  <a:schemeClr val="lt1"/>
                </a:solidFill>
              </a:ln>
              <a:effectLst/>
            </c:spPr>
            <c:extLst>
              <c:ext xmlns:c16="http://schemas.microsoft.com/office/drawing/2014/chart" uri="{C3380CC4-5D6E-409C-BE32-E72D297353CC}">
                <c16:uniqueId val="{00000001-207E-42CC-B6AC-8DB427D29560}"/>
              </c:ext>
            </c:extLst>
          </c:dPt>
          <c:dPt>
            <c:idx val="1"/>
            <c:bubble3D val="0"/>
            <c:spPr>
              <a:solidFill>
                <a:srgbClr val="BF9000"/>
              </a:solidFill>
              <a:ln w="19050">
                <a:solidFill>
                  <a:schemeClr val="lt1"/>
                </a:solidFill>
              </a:ln>
              <a:effectLst/>
            </c:spPr>
            <c:extLst>
              <c:ext xmlns:c16="http://schemas.microsoft.com/office/drawing/2014/chart" uri="{C3380CC4-5D6E-409C-BE32-E72D297353CC}">
                <c16:uniqueId val="{00000003-207E-42CC-B6AC-8DB427D29560}"/>
              </c:ext>
            </c:extLst>
          </c:dPt>
          <c:dPt>
            <c:idx val="2"/>
            <c:bubble3D val="0"/>
            <c:spPr>
              <a:solidFill>
                <a:srgbClr val="0074AF"/>
              </a:solidFill>
              <a:ln w="19050">
                <a:solidFill>
                  <a:schemeClr val="lt1"/>
                </a:solidFill>
              </a:ln>
              <a:effectLst/>
            </c:spPr>
            <c:extLst>
              <c:ext xmlns:c16="http://schemas.microsoft.com/office/drawing/2014/chart" uri="{C3380CC4-5D6E-409C-BE32-E72D297353CC}">
                <c16:uniqueId val="{00000005-207E-42CC-B6AC-8DB427D29560}"/>
              </c:ext>
            </c:extLst>
          </c:dPt>
          <c:dPt>
            <c:idx val="3"/>
            <c:bubble3D val="0"/>
            <c:spPr>
              <a:solidFill>
                <a:srgbClr val="528286"/>
              </a:solidFill>
              <a:ln w="19050">
                <a:solidFill>
                  <a:schemeClr val="lt1"/>
                </a:solidFill>
              </a:ln>
              <a:effectLst/>
            </c:spPr>
            <c:extLst>
              <c:ext xmlns:c16="http://schemas.microsoft.com/office/drawing/2014/chart" uri="{C3380CC4-5D6E-409C-BE32-E72D297353CC}">
                <c16:uniqueId val="{00000007-207E-42CC-B6AC-8DB427D29560}"/>
              </c:ext>
            </c:extLst>
          </c:dPt>
          <c:dPt>
            <c:idx val="4"/>
            <c:bubble3D val="0"/>
            <c:spPr>
              <a:solidFill>
                <a:schemeClr val="tx1">
                  <a:lumMod val="75000"/>
                  <a:lumOff val="25000"/>
                </a:schemeClr>
              </a:solidFill>
              <a:ln w="19050">
                <a:solidFill>
                  <a:schemeClr val="lt1"/>
                </a:solidFill>
              </a:ln>
              <a:effectLst/>
            </c:spPr>
            <c:extLst>
              <c:ext xmlns:c16="http://schemas.microsoft.com/office/drawing/2014/chart" uri="{C3380CC4-5D6E-409C-BE32-E72D297353CC}">
                <c16:uniqueId val="{00000009-207E-42CC-B6AC-8DB427D29560}"/>
              </c:ext>
            </c:extLst>
          </c:dPt>
          <c:dLbls>
            <c:dLbl>
              <c:idx val="0"/>
              <c:layout>
                <c:manualLayout>
                  <c:x val="0.18050541516245477"/>
                  <c:y val="-0.1069958847736625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207E-42CC-B6AC-8DB427D29560}"/>
                </c:ext>
              </c:extLst>
            </c:dLbl>
            <c:dLbl>
              <c:idx val="1"/>
              <c:layout>
                <c:manualLayout>
                  <c:x val="0.1588447653429603"/>
                  <c:y val="-4.115226337448564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207E-42CC-B6AC-8DB427D29560}"/>
                </c:ext>
              </c:extLst>
            </c:dLbl>
            <c:dLbl>
              <c:idx val="2"/>
              <c:layout>
                <c:manualLayout>
                  <c:x val="0.1732851985559565"/>
                  <c:y val="0.1454046639231823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207E-42CC-B6AC-8DB427D29560}"/>
                </c:ext>
              </c:extLst>
            </c:dLbl>
            <c:dLbl>
              <c:idx val="3"/>
              <c:layout>
                <c:manualLayout>
                  <c:x val="8.8082036939700445E-2"/>
                  <c:y val="0.1701462883797229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207E-42CC-B6AC-8DB427D29560}"/>
                </c:ext>
              </c:extLst>
            </c:dLbl>
            <c:dLbl>
              <c:idx val="4"/>
              <c:layout>
                <c:manualLayout>
                  <c:x val="-0.10830324909747292"/>
                  <c:y val="-0.25514403292181076"/>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207E-42CC-B6AC-8DB427D2956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'Survey Participants'!$AR$40:$AT$44</c:f>
              <c:strCache>
                <c:ptCount val="5"/>
                <c:pt idx="0">
                  <c:v>None (0%)</c:v>
                </c:pt>
                <c:pt idx="1">
                  <c:v>Less than a third (1% &lt; 33%)</c:v>
                </c:pt>
                <c:pt idx="2">
                  <c:v>One third to one half (33% &lt; 50%)</c:v>
                </c:pt>
                <c:pt idx="3">
                  <c:v>One half to two thirds (50% &lt; 67%)</c:v>
                </c:pt>
                <c:pt idx="4">
                  <c:v>Two thirds or more (67%+)</c:v>
                </c:pt>
              </c:strCache>
            </c:strRef>
          </c:cat>
          <c:val>
            <c:numRef>
              <c:f>'Survey Participants'!$AV$40:$AV$44</c:f>
              <c:numCache>
                <c:formatCode>0%</c:formatCode>
                <c:ptCount val="5"/>
                <c:pt idx="0">
                  <c:v>0.10344827586206896</c:v>
                </c:pt>
                <c:pt idx="1">
                  <c:v>6.8965517241379309E-2</c:v>
                </c:pt>
                <c:pt idx="2">
                  <c:v>0.13793103448275862</c:v>
                </c:pt>
                <c:pt idx="3">
                  <c:v>0.20689655172413793</c:v>
                </c:pt>
                <c:pt idx="4">
                  <c:v>0.48275862068965519</c:v>
                </c:pt>
              </c:numCache>
            </c:numRef>
          </c:val>
          <c:extLst>
            <c:ext xmlns:c16="http://schemas.microsoft.com/office/drawing/2014/chart" uri="{C3380CC4-5D6E-409C-BE32-E72D297353CC}">
              <c16:uniqueId val="{00000008-207E-42CC-B6AC-8DB427D29560}"/>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5" Type="http://schemas.openxmlformats.org/officeDocument/2006/relationships/chart" Target="../charts/chart21.xml"/><Relationship Id="rId4" Type="http://schemas.openxmlformats.org/officeDocument/2006/relationships/chart" Target="../charts/chart2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5" Type="http://schemas.openxmlformats.org/officeDocument/2006/relationships/image" Target="../media/image2.emf"/><Relationship Id="rId4"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25400</xdr:rowOff>
    </xdr:from>
    <xdr:to>
      <xdr:col>2</xdr:col>
      <xdr:colOff>449580</xdr:colOff>
      <xdr:row>2</xdr:row>
      <xdr:rowOff>290039</xdr:rowOff>
    </xdr:to>
    <xdr:pic>
      <xdr:nvPicPr>
        <xdr:cNvPr id="2" name="Seal of WA" descr="Image result for state of washington seal">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 y="139700"/>
          <a:ext cx="504825" cy="3636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22</xdr:col>
      <xdr:colOff>0</xdr:colOff>
      <xdr:row>4</xdr:row>
      <xdr:rowOff>0</xdr:rowOff>
    </xdr:from>
    <xdr:to>
      <xdr:col>25</xdr:col>
      <xdr:colOff>257175</xdr:colOff>
      <xdr:row>17</xdr:row>
      <xdr:rowOff>139700</xdr:rowOff>
    </xdr:to>
    <xdr:graphicFrame macro="">
      <xdr:nvGraphicFramePr>
        <xdr:cNvPr id="2" name="Chart 1">
          <a:extLst>
            <a:ext uri="{FF2B5EF4-FFF2-40B4-BE49-F238E27FC236}">
              <a16:creationId xmlns:a16="http://schemas.microsoft.com/office/drawing/2014/main" id="{F79450B2-1049-4803-9A5D-E50C2650E3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267758</xdr:colOff>
      <xdr:row>4</xdr:row>
      <xdr:rowOff>3174</xdr:rowOff>
    </xdr:from>
    <xdr:to>
      <xdr:col>28</xdr:col>
      <xdr:colOff>182033</xdr:colOff>
      <xdr:row>16</xdr:row>
      <xdr:rowOff>163194</xdr:rowOff>
    </xdr:to>
    <xdr:graphicFrame macro="">
      <xdr:nvGraphicFramePr>
        <xdr:cNvPr id="3" name="Chart 2">
          <a:extLst>
            <a:ext uri="{FF2B5EF4-FFF2-40B4-BE49-F238E27FC236}">
              <a16:creationId xmlns:a16="http://schemas.microsoft.com/office/drawing/2014/main" id="{07B031BB-1AA8-4B10-A785-55600CCE33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192616</xdr:colOff>
      <xdr:row>4</xdr:row>
      <xdr:rowOff>0</xdr:rowOff>
    </xdr:from>
    <xdr:to>
      <xdr:col>31</xdr:col>
      <xdr:colOff>106891</xdr:colOff>
      <xdr:row>18</xdr:row>
      <xdr:rowOff>31115</xdr:rowOff>
    </xdr:to>
    <xdr:graphicFrame macro="">
      <xdr:nvGraphicFramePr>
        <xdr:cNvPr id="4" name="Chart 3">
          <a:extLst>
            <a:ext uri="{FF2B5EF4-FFF2-40B4-BE49-F238E27FC236}">
              <a16:creationId xmlns:a16="http://schemas.microsoft.com/office/drawing/2014/main" id="{1C971E02-AEE8-4F28-B896-62DA767DA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120650</xdr:colOff>
      <xdr:row>4</xdr:row>
      <xdr:rowOff>0</xdr:rowOff>
    </xdr:from>
    <xdr:to>
      <xdr:col>34</xdr:col>
      <xdr:colOff>38100</xdr:colOff>
      <xdr:row>17</xdr:row>
      <xdr:rowOff>48260</xdr:rowOff>
    </xdr:to>
    <xdr:graphicFrame macro="">
      <xdr:nvGraphicFramePr>
        <xdr:cNvPr id="5" name="Chart 4">
          <a:extLst>
            <a:ext uri="{FF2B5EF4-FFF2-40B4-BE49-F238E27FC236}">
              <a16:creationId xmlns:a16="http://schemas.microsoft.com/office/drawing/2014/main" id="{7E7B5DB2-B2F4-44BD-B66B-5D8C73ED01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50799</xdr:colOff>
      <xdr:row>3</xdr:row>
      <xdr:rowOff>0</xdr:rowOff>
    </xdr:from>
    <xdr:to>
      <xdr:col>20</xdr:col>
      <xdr:colOff>209550</xdr:colOff>
      <xdr:row>22</xdr:row>
      <xdr:rowOff>0</xdr:rowOff>
    </xdr:to>
    <xdr:graphicFrame macro="">
      <xdr:nvGraphicFramePr>
        <xdr:cNvPr id="6" name="Chart 5">
          <a:extLst>
            <a:ext uri="{FF2B5EF4-FFF2-40B4-BE49-F238E27FC236}">
              <a16:creationId xmlns:a16="http://schemas.microsoft.com/office/drawing/2014/main" id="{F8830781-B756-463A-A103-48C3CF0DA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44450</xdr:colOff>
      <xdr:row>32</xdr:row>
      <xdr:rowOff>38100</xdr:rowOff>
    </xdr:from>
    <xdr:to>
      <xdr:col>20</xdr:col>
      <xdr:colOff>196850</xdr:colOff>
      <xdr:row>52</xdr:row>
      <xdr:rowOff>142875</xdr:rowOff>
    </xdr:to>
    <xdr:graphicFrame macro="">
      <xdr:nvGraphicFramePr>
        <xdr:cNvPr id="7" name="Chart 6">
          <a:extLst>
            <a:ext uri="{FF2B5EF4-FFF2-40B4-BE49-F238E27FC236}">
              <a16:creationId xmlns:a16="http://schemas.microsoft.com/office/drawing/2014/main" id="{3DEBE9ED-1448-4AD9-9E1C-AD15E896E2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572136</xdr:colOff>
      <xdr:row>25</xdr:row>
      <xdr:rowOff>182880</xdr:rowOff>
    </xdr:from>
    <xdr:to>
      <xdr:col>34</xdr:col>
      <xdr:colOff>226696</xdr:colOff>
      <xdr:row>46</xdr:row>
      <xdr:rowOff>94614</xdr:rowOff>
    </xdr:to>
    <xdr:graphicFrame macro="">
      <xdr:nvGraphicFramePr>
        <xdr:cNvPr id="8" name="Chart 7">
          <a:extLst>
            <a:ext uri="{FF2B5EF4-FFF2-40B4-BE49-F238E27FC236}">
              <a16:creationId xmlns:a16="http://schemas.microsoft.com/office/drawing/2014/main" id="{7BC7F8B5-FD1A-442A-B4C0-75477B03A4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0</xdr:colOff>
      <xdr:row>17</xdr:row>
      <xdr:rowOff>1</xdr:rowOff>
    </xdr:from>
    <xdr:to>
      <xdr:col>34</xdr:col>
      <xdr:colOff>0</xdr:colOff>
      <xdr:row>19</xdr:row>
      <xdr:rowOff>0</xdr:rowOff>
    </xdr:to>
    <xdr:graphicFrame macro="">
      <xdr:nvGraphicFramePr>
        <xdr:cNvPr id="9" name="Chart 8">
          <a:extLst>
            <a:ext uri="{FF2B5EF4-FFF2-40B4-BE49-F238E27FC236}">
              <a16:creationId xmlns:a16="http://schemas.microsoft.com/office/drawing/2014/main" id="{E41620CF-850F-4E03-B274-896BCE6BE0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xdr:colOff>
      <xdr:row>21</xdr:row>
      <xdr:rowOff>0</xdr:rowOff>
    </xdr:from>
    <xdr:to>
      <xdr:col>10</xdr:col>
      <xdr:colOff>1</xdr:colOff>
      <xdr:row>47</xdr:row>
      <xdr:rowOff>0</xdr:rowOff>
    </xdr:to>
    <xdr:graphicFrame macro="">
      <xdr:nvGraphicFramePr>
        <xdr:cNvPr id="2" name="Chart 1">
          <a:extLst>
            <a:ext uri="{FF2B5EF4-FFF2-40B4-BE49-F238E27FC236}">
              <a16:creationId xmlns:a16="http://schemas.microsoft.com/office/drawing/2014/main" id="{B7CC5FBE-D645-4840-8D32-4B9A4021ED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xdr:colOff>
      <xdr:row>7</xdr:row>
      <xdr:rowOff>0</xdr:rowOff>
    </xdr:from>
    <xdr:to>
      <xdr:col>20</xdr:col>
      <xdr:colOff>0</xdr:colOff>
      <xdr:row>18</xdr:row>
      <xdr:rowOff>0</xdr:rowOff>
    </xdr:to>
    <xdr:graphicFrame macro="">
      <xdr:nvGraphicFramePr>
        <xdr:cNvPr id="3" name="Chart 2">
          <a:extLst>
            <a:ext uri="{FF2B5EF4-FFF2-40B4-BE49-F238E27FC236}">
              <a16:creationId xmlns:a16="http://schemas.microsoft.com/office/drawing/2014/main" id="{707D5D96-413B-4845-B471-75FD2F22EC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21</xdr:row>
      <xdr:rowOff>1</xdr:rowOff>
    </xdr:from>
    <xdr:to>
      <xdr:col>11</xdr:col>
      <xdr:colOff>0</xdr:colOff>
      <xdr:row>40</xdr:row>
      <xdr:rowOff>1</xdr:rowOff>
    </xdr:to>
    <xdr:graphicFrame macro="">
      <xdr:nvGraphicFramePr>
        <xdr:cNvPr id="2" name="Chart 1">
          <a:extLst>
            <a:ext uri="{FF2B5EF4-FFF2-40B4-BE49-F238E27FC236}">
              <a16:creationId xmlns:a16="http://schemas.microsoft.com/office/drawing/2014/main" id="{386EE6F1-720C-4EFC-BC90-5EA89A9152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xdr:colOff>
      <xdr:row>20</xdr:row>
      <xdr:rowOff>1</xdr:rowOff>
    </xdr:from>
    <xdr:to>
      <xdr:col>32</xdr:col>
      <xdr:colOff>1</xdr:colOff>
      <xdr:row>44</xdr:row>
      <xdr:rowOff>0</xdr:rowOff>
    </xdr:to>
    <xdr:graphicFrame macro="">
      <xdr:nvGraphicFramePr>
        <xdr:cNvPr id="3" name="Chart 2">
          <a:extLst>
            <a:ext uri="{FF2B5EF4-FFF2-40B4-BE49-F238E27FC236}">
              <a16:creationId xmlns:a16="http://schemas.microsoft.com/office/drawing/2014/main" id="{89D32E11-22B4-4E05-A4BD-ECCD60CA7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18</xdr:row>
      <xdr:rowOff>0</xdr:rowOff>
    </xdr:from>
    <xdr:to>
      <xdr:col>13</xdr:col>
      <xdr:colOff>3173</xdr:colOff>
      <xdr:row>24</xdr:row>
      <xdr:rowOff>0</xdr:rowOff>
    </xdr:to>
    <xdr:graphicFrame macro="">
      <xdr:nvGraphicFramePr>
        <xdr:cNvPr id="2" name="Chart 1">
          <a:extLst>
            <a:ext uri="{FF2B5EF4-FFF2-40B4-BE49-F238E27FC236}">
              <a16:creationId xmlns:a16="http://schemas.microsoft.com/office/drawing/2014/main" id="{603BD470-BBF3-4EFC-8589-CABF823A38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xdr:colOff>
      <xdr:row>18</xdr:row>
      <xdr:rowOff>0</xdr:rowOff>
    </xdr:from>
    <xdr:to>
      <xdr:col>19</xdr:col>
      <xdr:colOff>590550</xdr:colOff>
      <xdr:row>25</xdr:row>
      <xdr:rowOff>0</xdr:rowOff>
    </xdr:to>
    <xdr:graphicFrame macro="">
      <xdr:nvGraphicFramePr>
        <xdr:cNvPr id="3" name="Chart 2">
          <a:extLst>
            <a:ext uri="{FF2B5EF4-FFF2-40B4-BE49-F238E27FC236}">
              <a16:creationId xmlns:a16="http://schemas.microsoft.com/office/drawing/2014/main" id="{307CC703-A473-4E06-AFA5-E7EE6BC2F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79375</xdr:colOff>
      <xdr:row>21</xdr:row>
      <xdr:rowOff>47625</xdr:rowOff>
    </xdr:from>
    <xdr:to>
      <xdr:col>26</xdr:col>
      <xdr:colOff>613354</xdr:colOff>
      <xdr:row>38</xdr:row>
      <xdr:rowOff>47625</xdr:rowOff>
    </xdr:to>
    <xdr:graphicFrame macro="">
      <xdr:nvGraphicFramePr>
        <xdr:cNvPr id="2" name="Chart 1">
          <a:extLst>
            <a:ext uri="{FF2B5EF4-FFF2-40B4-BE49-F238E27FC236}">
              <a16:creationId xmlns:a16="http://schemas.microsoft.com/office/drawing/2014/main" id="{1FA48174-7F65-4E9F-AC10-D2CE7498D4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57150</xdr:colOff>
      <xdr:row>2</xdr:row>
      <xdr:rowOff>55555</xdr:rowOff>
    </xdr:from>
    <xdr:to>
      <xdr:col>10</xdr:col>
      <xdr:colOff>282575</xdr:colOff>
      <xdr:row>15</xdr:row>
      <xdr:rowOff>674680</xdr:rowOff>
    </xdr:to>
    <xdr:graphicFrame macro="">
      <xdr:nvGraphicFramePr>
        <xdr:cNvPr id="3" name="Chart 2">
          <a:extLst>
            <a:ext uri="{FF2B5EF4-FFF2-40B4-BE49-F238E27FC236}">
              <a16:creationId xmlns:a16="http://schemas.microsoft.com/office/drawing/2014/main" id="{71EC4462-FDFE-489B-BB7A-9AED40B373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xdr:row>
      <xdr:rowOff>0</xdr:rowOff>
    </xdr:from>
    <xdr:to>
      <xdr:col>8</xdr:col>
      <xdr:colOff>3174</xdr:colOff>
      <xdr:row>7</xdr:row>
      <xdr:rowOff>0</xdr:rowOff>
    </xdr:to>
    <xdr:graphicFrame macro="">
      <xdr:nvGraphicFramePr>
        <xdr:cNvPr id="2" name="Chart 1">
          <a:extLst>
            <a:ext uri="{FF2B5EF4-FFF2-40B4-BE49-F238E27FC236}">
              <a16:creationId xmlns:a16="http://schemas.microsoft.com/office/drawing/2014/main" id="{21B0AEA1-185C-4E76-AD64-1FB270CCE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323851</xdr:colOff>
      <xdr:row>23</xdr:row>
      <xdr:rowOff>9524</xdr:rowOff>
    </xdr:from>
    <xdr:to>
      <xdr:col>24</xdr:col>
      <xdr:colOff>152400</xdr:colOff>
      <xdr:row>30</xdr:row>
      <xdr:rowOff>318654</xdr:rowOff>
    </xdr:to>
    <xdr:graphicFrame macro="">
      <xdr:nvGraphicFramePr>
        <xdr:cNvPr id="3" name="Chart 2">
          <a:extLst>
            <a:ext uri="{FF2B5EF4-FFF2-40B4-BE49-F238E27FC236}">
              <a16:creationId xmlns:a16="http://schemas.microsoft.com/office/drawing/2014/main" id="{DDF69F3B-42B6-4CE1-A4DA-8E44A7422B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819150</xdr:colOff>
      <xdr:row>23</xdr:row>
      <xdr:rowOff>0</xdr:rowOff>
    </xdr:from>
    <xdr:to>
      <xdr:col>27</xdr:col>
      <xdr:colOff>333375</xdr:colOff>
      <xdr:row>29</xdr:row>
      <xdr:rowOff>119062</xdr:rowOff>
    </xdr:to>
    <xdr:graphicFrame macro="">
      <xdr:nvGraphicFramePr>
        <xdr:cNvPr id="4" name="Chart 3">
          <a:extLst>
            <a:ext uri="{FF2B5EF4-FFF2-40B4-BE49-F238E27FC236}">
              <a16:creationId xmlns:a16="http://schemas.microsoft.com/office/drawing/2014/main" id="{1C238DBD-152E-40C8-9E51-6D012F2842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542925</xdr:colOff>
      <xdr:row>22</xdr:row>
      <xdr:rowOff>171450</xdr:rowOff>
    </xdr:from>
    <xdr:to>
      <xdr:col>32</xdr:col>
      <xdr:colOff>504825</xdr:colOff>
      <xdr:row>29</xdr:row>
      <xdr:rowOff>100012</xdr:rowOff>
    </xdr:to>
    <xdr:graphicFrame macro="">
      <xdr:nvGraphicFramePr>
        <xdr:cNvPr id="5" name="Chart 4">
          <a:extLst>
            <a:ext uri="{FF2B5EF4-FFF2-40B4-BE49-F238E27FC236}">
              <a16:creationId xmlns:a16="http://schemas.microsoft.com/office/drawing/2014/main" id="{6BEA4721-CDE4-46D8-8293-E4E612680B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352424</xdr:colOff>
      <xdr:row>10</xdr:row>
      <xdr:rowOff>42862</xdr:rowOff>
    </xdr:from>
    <xdr:to>
      <xdr:col>35</xdr:col>
      <xdr:colOff>495299</xdr:colOff>
      <xdr:row>20</xdr:row>
      <xdr:rowOff>361950</xdr:rowOff>
    </xdr:to>
    <xdr:graphicFrame macro="">
      <xdr:nvGraphicFramePr>
        <xdr:cNvPr id="6" name="Chart 5">
          <a:extLst>
            <a:ext uri="{FF2B5EF4-FFF2-40B4-BE49-F238E27FC236}">
              <a16:creationId xmlns:a16="http://schemas.microsoft.com/office/drawing/2014/main" id="{8F4FF77E-DEC6-4158-8C8A-14D69A228B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9</xdr:col>
      <xdr:colOff>0</xdr:colOff>
      <xdr:row>25</xdr:row>
      <xdr:rowOff>0</xdr:rowOff>
    </xdr:to>
    <xdr:graphicFrame macro="">
      <xdr:nvGraphicFramePr>
        <xdr:cNvPr id="2" name="Chart 1">
          <a:extLst>
            <a:ext uri="{FF2B5EF4-FFF2-40B4-BE49-F238E27FC236}">
              <a16:creationId xmlns:a16="http://schemas.microsoft.com/office/drawing/2014/main" id="{905C2E9D-12F2-428E-8E00-931D6589C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33</xdr:row>
      <xdr:rowOff>1</xdr:rowOff>
    </xdr:from>
    <xdr:to>
      <xdr:col>9</xdr:col>
      <xdr:colOff>0</xdr:colOff>
      <xdr:row>50</xdr:row>
      <xdr:rowOff>0</xdr:rowOff>
    </xdr:to>
    <xdr:graphicFrame macro="">
      <xdr:nvGraphicFramePr>
        <xdr:cNvPr id="3" name="Chart 2">
          <a:extLst>
            <a:ext uri="{FF2B5EF4-FFF2-40B4-BE49-F238E27FC236}">
              <a16:creationId xmlns:a16="http://schemas.microsoft.com/office/drawing/2014/main" id="{C4562591-0282-402F-8E5B-116803CA7F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514351</xdr:colOff>
      <xdr:row>2</xdr:row>
      <xdr:rowOff>190500</xdr:rowOff>
    </xdr:from>
    <xdr:to>
      <xdr:col>23</xdr:col>
      <xdr:colOff>161925</xdr:colOff>
      <xdr:row>4</xdr:row>
      <xdr:rowOff>152400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16335376" y="600075"/>
          <a:ext cx="5391149" cy="790575"/>
        </a:xfrm>
        <a:prstGeom prst="rect">
          <a:avLst/>
        </a:prstGeom>
        <a:solidFill>
          <a:schemeClr val="bg1"/>
        </a:solidFill>
      </xdr:spPr>
      <xdr:txBody>
        <a:bodyPr wrap="square">
          <a:noAutofit/>
        </a:bodyPr>
        <a:lstStyle/>
        <a:p>
          <a:pPr marL="0" marR="0">
            <a:lnSpc>
              <a:spcPct val="90000"/>
            </a:lnSpc>
            <a:spcBef>
              <a:spcPts val="600"/>
            </a:spcBef>
            <a:spcAft>
              <a:spcPts val="0"/>
            </a:spcAft>
          </a:pPr>
          <a:r>
            <a:rPr lang="en-US" sz="1200" kern="1200">
              <a:solidFill>
                <a:srgbClr val="BF9000"/>
              </a:solidFill>
              <a:effectLst/>
              <a:latin typeface="Arial" panose="020B0604020202020204" pitchFamily="34" charset="0"/>
              <a:ea typeface="Arial" panose="020B0604020202020204" pitchFamily="34" charset="0"/>
              <a:cs typeface="Verdana" panose="020B0604030504040204" pitchFamily="34" charset="0"/>
              <a:sym typeface="Wingdings" panose="020B0603050302020204" pitchFamily="34" charset="2"/>
            </a:rPr>
            <a:t></a:t>
          </a:r>
          <a:r>
            <a:rPr lang="en-US" sz="1200" kern="1200">
              <a:solidFill>
                <a:srgbClr val="000000"/>
              </a:solidFill>
              <a:effectLst/>
              <a:latin typeface="Arial" panose="020B0604020202020204" pitchFamily="34" charset="0"/>
              <a:ea typeface="Arial" panose="020B0604020202020204" pitchFamily="34" charset="0"/>
              <a:cs typeface="Verdana" panose="020B0604030504040204" pitchFamily="34" charset="0"/>
            </a:rPr>
            <a:t> </a:t>
          </a:r>
          <a:r>
            <a:rPr lang="en-US" sz="1200" b="1" kern="1200">
              <a:solidFill>
                <a:srgbClr val="000000"/>
              </a:solidFill>
              <a:effectLst/>
              <a:latin typeface="Arial" panose="020B0604020202020204" pitchFamily="34" charset="0"/>
              <a:ea typeface="Arial" panose="020B0604020202020204" pitchFamily="34" charset="0"/>
              <a:cs typeface="Verdana" panose="020B0604030504040204" pitchFamily="34" charset="0"/>
            </a:rPr>
            <a:t>Puget Sound: </a:t>
          </a:r>
          <a:r>
            <a:rPr lang="en-US" sz="1200" b="0" kern="1200">
              <a:solidFill>
                <a:srgbClr val="000000"/>
              </a:solidFill>
              <a:effectLst/>
              <a:latin typeface="Arial" panose="020B0604020202020204" pitchFamily="34" charset="0"/>
              <a:ea typeface="Arial" panose="020B0604020202020204" pitchFamily="34" charset="0"/>
              <a:cs typeface="Verdana" panose="020B0604030504040204" pitchFamily="34" charset="0"/>
            </a:rPr>
            <a:t>13</a:t>
          </a:r>
          <a:r>
            <a:rPr lang="en-US" sz="1200" kern="1200">
              <a:solidFill>
                <a:srgbClr val="000000"/>
              </a:solidFill>
              <a:effectLst/>
              <a:latin typeface="Arial" panose="020B0604020202020204" pitchFamily="34" charset="0"/>
              <a:ea typeface="Arial" panose="020B0604020202020204" pitchFamily="34" charset="0"/>
              <a:cs typeface="Verdana" panose="020B0604030504040204" pitchFamily="34" charset="0"/>
            </a:rPr>
            <a:t> survey participants</a:t>
          </a:r>
          <a:endParaRPr lang="en-US" sz="1200">
            <a:effectLst/>
            <a:latin typeface="Times New Roman" panose="02020603050405020304" pitchFamily="18" charset="0"/>
            <a:ea typeface="Arial" panose="020B0604020202020204" pitchFamily="34" charset="0"/>
          </a:endParaRPr>
        </a:p>
        <a:p>
          <a:pPr marL="0" marR="0">
            <a:lnSpc>
              <a:spcPct val="90000"/>
            </a:lnSpc>
            <a:spcBef>
              <a:spcPts val="600"/>
            </a:spcBef>
            <a:spcAft>
              <a:spcPts val="0"/>
            </a:spcAft>
          </a:pPr>
          <a:r>
            <a:rPr lang="en-US" sz="1200" kern="1200">
              <a:solidFill>
                <a:srgbClr val="004568"/>
              </a:solidFill>
              <a:effectLst/>
              <a:latin typeface="Arial" panose="020B0604020202020204" pitchFamily="34" charset="0"/>
              <a:ea typeface="Arial" panose="020B0604020202020204" pitchFamily="34" charset="0"/>
              <a:cs typeface="Verdana" panose="020B0604030504040204" pitchFamily="34" charset="0"/>
              <a:sym typeface="Wingdings" panose="020B0603050302020204" pitchFamily="34" charset="2"/>
            </a:rPr>
            <a:t></a:t>
          </a:r>
          <a:r>
            <a:rPr lang="en-US" sz="1200" kern="1200">
              <a:solidFill>
                <a:srgbClr val="000000"/>
              </a:solidFill>
              <a:effectLst/>
              <a:latin typeface="Arial" panose="020B0604020202020204" pitchFamily="34" charset="0"/>
              <a:ea typeface="Arial" panose="020B0604020202020204" pitchFamily="34" charset="0"/>
              <a:cs typeface="Verdana" panose="020B0604030504040204" pitchFamily="34" charset="0"/>
            </a:rPr>
            <a:t> </a:t>
          </a:r>
          <a:r>
            <a:rPr lang="en-US" sz="1200" b="1" kern="1200">
              <a:solidFill>
                <a:srgbClr val="000000"/>
              </a:solidFill>
              <a:effectLst/>
              <a:latin typeface="Arial" panose="020B0604020202020204" pitchFamily="34" charset="0"/>
              <a:ea typeface="Arial" panose="020B0604020202020204" pitchFamily="34" charset="0"/>
              <a:cs typeface="Verdana" panose="020B0604030504040204" pitchFamily="34" charset="0"/>
            </a:rPr>
            <a:t>Western Washington </a:t>
          </a:r>
          <a:r>
            <a:rPr lang="en-US" sz="1200" kern="1200">
              <a:solidFill>
                <a:srgbClr val="000000"/>
              </a:solidFill>
              <a:effectLst/>
              <a:latin typeface="Arial" panose="020B0604020202020204" pitchFamily="34" charset="0"/>
              <a:ea typeface="Arial" panose="020B0604020202020204" pitchFamily="34" charset="0"/>
              <a:cs typeface="Verdana" panose="020B0604030504040204" pitchFamily="34" charset="0"/>
            </a:rPr>
            <a:t>(excluding Puget Sound): 5 survey participants</a:t>
          </a:r>
          <a:endParaRPr lang="en-US" sz="1200">
            <a:effectLst/>
            <a:latin typeface="Times New Roman" panose="02020603050405020304" pitchFamily="18" charset="0"/>
            <a:ea typeface="Arial" panose="020B0604020202020204" pitchFamily="34" charset="0"/>
          </a:endParaRPr>
        </a:p>
        <a:p>
          <a:pPr marL="0" marR="0">
            <a:lnSpc>
              <a:spcPct val="90000"/>
            </a:lnSpc>
            <a:spcBef>
              <a:spcPts val="600"/>
            </a:spcBef>
            <a:spcAft>
              <a:spcPts val="0"/>
            </a:spcAft>
          </a:pPr>
          <a:r>
            <a:rPr lang="en-US" sz="1200" kern="1200">
              <a:solidFill>
                <a:srgbClr val="528222"/>
              </a:solidFill>
              <a:effectLst/>
              <a:latin typeface="Arial" panose="020B0604020202020204" pitchFamily="34" charset="0"/>
              <a:ea typeface="Arial" panose="020B0604020202020204" pitchFamily="34" charset="0"/>
              <a:cs typeface="Verdana" panose="020B0604030504040204" pitchFamily="34" charset="0"/>
              <a:sym typeface="Wingdings" panose="020B0603050302020204" pitchFamily="34" charset="2"/>
            </a:rPr>
            <a:t></a:t>
          </a:r>
          <a:r>
            <a:rPr lang="en-US" sz="1200" kern="1200">
              <a:solidFill>
                <a:srgbClr val="000000"/>
              </a:solidFill>
              <a:effectLst/>
              <a:latin typeface="Arial" panose="020B0604020202020204" pitchFamily="34" charset="0"/>
              <a:ea typeface="Arial" panose="020B0604020202020204" pitchFamily="34" charset="0"/>
              <a:cs typeface="Verdana" panose="020B0604030504040204" pitchFamily="34" charset="0"/>
            </a:rPr>
            <a:t> </a:t>
          </a:r>
          <a:r>
            <a:rPr lang="en-US" sz="1200" b="1" kern="1200">
              <a:solidFill>
                <a:srgbClr val="000000"/>
              </a:solidFill>
              <a:effectLst/>
              <a:latin typeface="Arial" panose="020B0604020202020204" pitchFamily="34" charset="0"/>
              <a:ea typeface="Arial" panose="020B0604020202020204" pitchFamily="34" charset="0"/>
              <a:cs typeface="Verdana" panose="020B0604030504040204" pitchFamily="34" charset="0"/>
            </a:rPr>
            <a:t>Eastern Washington: </a:t>
          </a:r>
          <a:r>
            <a:rPr lang="en-US" sz="1200" b="0" kern="1200">
              <a:solidFill>
                <a:srgbClr val="000000"/>
              </a:solidFill>
              <a:effectLst/>
              <a:latin typeface="Arial" panose="020B0604020202020204" pitchFamily="34" charset="0"/>
              <a:ea typeface="Arial" panose="020B0604020202020204" pitchFamily="34" charset="0"/>
              <a:cs typeface="Verdana" panose="020B0604030504040204" pitchFamily="34" charset="0"/>
            </a:rPr>
            <a:t>4</a:t>
          </a:r>
          <a:r>
            <a:rPr lang="en-US" sz="1200" kern="1200">
              <a:solidFill>
                <a:srgbClr val="000000"/>
              </a:solidFill>
              <a:effectLst/>
              <a:latin typeface="Arial" panose="020B0604020202020204" pitchFamily="34" charset="0"/>
              <a:ea typeface="Arial" panose="020B0604020202020204" pitchFamily="34" charset="0"/>
              <a:cs typeface="Verdana" panose="020B0604030504040204" pitchFamily="34" charset="0"/>
            </a:rPr>
            <a:t> survey participants</a:t>
          </a:r>
          <a:endParaRPr lang="en-US" sz="1200">
            <a:effectLst/>
            <a:latin typeface="Times New Roman" panose="02020603050405020304" pitchFamily="18" charset="0"/>
            <a:ea typeface="Arial" panose="020B0604020202020204" pitchFamily="34" charset="0"/>
          </a:endParaRPr>
        </a:p>
      </xdr:txBody>
    </xdr:sp>
    <xdr:clientData/>
  </xdr:twoCellAnchor>
  <xdr:twoCellAnchor>
    <xdr:from>
      <xdr:col>12</xdr:col>
      <xdr:colOff>580737</xdr:colOff>
      <xdr:row>15</xdr:row>
      <xdr:rowOff>328469</xdr:rowOff>
    </xdr:from>
    <xdr:to>
      <xdr:col>24</xdr:col>
      <xdr:colOff>207242</xdr:colOff>
      <xdr:row>27</xdr:row>
      <xdr:rowOff>279689</xdr:rowOff>
    </xdr:to>
    <xdr:graphicFrame macro="">
      <xdr:nvGraphicFramePr>
        <xdr:cNvPr id="9" name="Chart 8">
          <a:extLst>
            <a:ext uri="{FF2B5EF4-FFF2-40B4-BE49-F238E27FC236}">
              <a16:creationId xmlns:a16="http://schemas.microsoft.com/office/drawing/2014/main" id="{00000000-0008-0000-1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134504</xdr:colOff>
      <xdr:row>20</xdr:row>
      <xdr:rowOff>342223</xdr:rowOff>
    </xdr:from>
    <xdr:to>
      <xdr:col>32</xdr:col>
      <xdr:colOff>140853</xdr:colOff>
      <xdr:row>32</xdr:row>
      <xdr:rowOff>27321</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55</xdr:col>
      <xdr:colOff>107084</xdr:colOff>
      <xdr:row>21</xdr:row>
      <xdr:rowOff>69557</xdr:rowOff>
    </xdr:from>
    <xdr:to>
      <xdr:col>63</xdr:col>
      <xdr:colOff>107084</xdr:colOff>
      <xdr:row>31</xdr:row>
      <xdr:rowOff>169945</xdr:rowOff>
    </xdr:to>
    <xdr:graphicFrame macro="">
      <xdr:nvGraphicFramePr>
        <xdr:cNvPr id="11" name="Chart 10">
          <a:extLst>
            <a:ext uri="{FF2B5EF4-FFF2-40B4-BE49-F238E27FC236}">
              <a16:creationId xmlns:a16="http://schemas.microsoft.com/office/drawing/2014/main" id="{00000000-0008-0000-1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42</xdr:col>
      <xdr:colOff>436708</xdr:colOff>
      <xdr:row>20</xdr:row>
      <xdr:rowOff>292389</xdr:rowOff>
    </xdr:from>
    <xdr:to>
      <xdr:col>49</xdr:col>
      <xdr:colOff>597766</xdr:colOff>
      <xdr:row>31</xdr:row>
      <xdr:rowOff>392257</xdr:rowOff>
    </xdr:to>
    <xdr:graphicFrame macro="">
      <xdr:nvGraphicFramePr>
        <xdr:cNvPr id="8" name="Chart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332509</xdr:colOff>
      <xdr:row>4</xdr:row>
      <xdr:rowOff>374072</xdr:rowOff>
    </xdr:from>
    <xdr:to>
      <xdr:col>23</xdr:col>
      <xdr:colOff>303935</xdr:colOff>
      <xdr:row>11</xdr:row>
      <xdr:rowOff>376628</xdr:rowOff>
    </xdr:to>
    <xdr:pic>
      <xdr:nvPicPr>
        <xdr:cNvPr id="5" name="Picture 4">
          <a:extLst>
            <a:ext uri="{FF2B5EF4-FFF2-40B4-BE49-F238E27FC236}">
              <a16:creationId xmlns:a16="http://schemas.microsoft.com/office/drawing/2014/main" id="{65D83580-10C5-4096-BC65-3BAA0426B43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7733818" y="1607127"/>
          <a:ext cx="5707208" cy="3105974"/>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SEGAL NEW">
      <a:dk1>
        <a:sysClr val="windowText" lastClr="000000"/>
      </a:dk1>
      <a:lt1>
        <a:sysClr val="window" lastClr="FFFFFF"/>
      </a:lt1>
      <a:dk2>
        <a:srgbClr val="863399"/>
      </a:dk2>
      <a:lt2>
        <a:srgbClr val="005CB9"/>
      </a:lt2>
      <a:accent1>
        <a:srgbClr val="1DCAD3"/>
      </a:accent1>
      <a:accent2>
        <a:srgbClr val="E65300"/>
      </a:accent2>
      <a:accent3>
        <a:srgbClr val="3DAE2B"/>
      </a:accent3>
      <a:accent4>
        <a:srgbClr val="616365"/>
      </a:accent4>
      <a:accent5>
        <a:srgbClr val="001C71"/>
      </a:accent5>
      <a:accent6>
        <a:srgbClr val="EEAF30"/>
      </a:accent6>
      <a:hlink>
        <a:srgbClr val="005CB9"/>
      </a:hlink>
      <a:folHlink>
        <a:srgbClr val="8633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tabColor rgb="FF0070C0"/>
  </sheetPr>
  <dimension ref="B1:E19"/>
  <sheetViews>
    <sheetView tabSelected="1" workbookViewId="0">
      <selection activeCell="I8" sqref="I8"/>
    </sheetView>
  </sheetViews>
  <sheetFormatPr defaultColWidth="9.28515625" defaultRowHeight="14.25" x14ac:dyDescent="0.2"/>
  <cols>
    <col min="1" max="1" width="1.5703125" style="1" customWidth="1"/>
    <col min="2" max="2" width="1.28515625" style="1" customWidth="1"/>
    <col min="3" max="3" width="37.7109375" style="1" bestFit="1" customWidth="1"/>
    <col min="4" max="4" width="16.28515625" style="1" customWidth="1"/>
    <col min="5" max="5" width="1.28515625" style="1" customWidth="1"/>
    <col min="6" max="6" width="1.5703125" style="1" customWidth="1"/>
    <col min="7" max="16384" width="9.28515625" style="1"/>
  </cols>
  <sheetData>
    <row r="1" spans="2:5" ht="9" customHeight="1" x14ac:dyDescent="0.2"/>
    <row r="2" spans="2:5" ht="8.1" customHeight="1" x14ac:dyDescent="0.2">
      <c r="B2" s="6"/>
      <c r="C2" s="7"/>
      <c r="D2" s="7"/>
      <c r="E2" s="9"/>
    </row>
    <row r="3" spans="2:5" s="2" customFormat="1" ht="41.25" customHeight="1" x14ac:dyDescent="0.3">
      <c r="B3" s="3" t="s">
        <v>738</v>
      </c>
      <c r="C3" s="8"/>
      <c r="D3" s="8"/>
      <c r="E3" s="10"/>
    </row>
    <row r="4" spans="2:5" s="2" customFormat="1" ht="8.1" customHeight="1" x14ac:dyDescent="0.3">
      <c r="B4" s="3"/>
      <c r="C4" s="8"/>
      <c r="D4" s="8"/>
      <c r="E4" s="10"/>
    </row>
    <row r="5" spans="2:5" ht="18.75" x14ac:dyDescent="0.3">
      <c r="B5" s="4"/>
      <c r="C5" s="74" t="s">
        <v>246</v>
      </c>
      <c r="D5" s="75"/>
      <c r="E5" s="11"/>
    </row>
    <row r="6" spans="2:5" ht="18.75" x14ac:dyDescent="0.3">
      <c r="B6" s="4"/>
      <c r="C6" s="76" t="s">
        <v>247</v>
      </c>
      <c r="D6" s="77" t="s">
        <v>248</v>
      </c>
      <c r="E6" s="11"/>
    </row>
    <row r="7" spans="2:5" ht="18.75" x14ac:dyDescent="0.3">
      <c r="B7" s="4"/>
      <c r="C7" s="79" t="s">
        <v>720</v>
      </c>
      <c r="D7" s="78">
        <f ca="1">_xlfn.SHEET(INDIRECT("'"&amp;C7&amp;"*'!A1"))</f>
        <v>2</v>
      </c>
      <c r="E7" s="11"/>
    </row>
    <row r="8" spans="2:5" ht="18.75" x14ac:dyDescent="0.3">
      <c r="B8" s="4"/>
      <c r="C8" s="79" t="s">
        <v>721</v>
      </c>
      <c r="D8" s="78">
        <f t="shared" ref="D8:D14" ca="1" si="0">_xlfn.SHEET(INDIRECT("'"&amp;C8&amp;"*'!A1"))</f>
        <v>3</v>
      </c>
      <c r="E8" s="11"/>
    </row>
    <row r="9" spans="2:5" ht="18.75" x14ac:dyDescent="0.3">
      <c r="B9" s="4"/>
      <c r="C9" s="79" t="s">
        <v>795</v>
      </c>
      <c r="D9" s="78">
        <f t="shared" ca="1" si="0"/>
        <v>4</v>
      </c>
      <c r="E9" s="11"/>
    </row>
    <row r="10" spans="2:5" ht="18.75" x14ac:dyDescent="0.3">
      <c r="B10" s="4"/>
      <c r="C10" s="79" t="s">
        <v>722</v>
      </c>
      <c r="D10" s="78">
        <f t="shared" ca="1" si="0"/>
        <v>5</v>
      </c>
      <c r="E10" s="11"/>
    </row>
    <row r="11" spans="2:5" ht="18.75" x14ac:dyDescent="0.3">
      <c r="B11" s="4"/>
      <c r="C11" s="79" t="s">
        <v>723</v>
      </c>
      <c r="D11" s="80">
        <f t="shared" ca="1" si="0"/>
        <v>6</v>
      </c>
      <c r="E11" s="11"/>
    </row>
    <row r="12" spans="2:5" ht="18.75" x14ac:dyDescent="0.3">
      <c r="B12" s="4"/>
      <c r="C12" s="79" t="s">
        <v>729</v>
      </c>
      <c r="D12" s="80">
        <f t="shared" ca="1" si="0"/>
        <v>7</v>
      </c>
      <c r="E12" s="11"/>
    </row>
    <row r="13" spans="2:5" ht="18.75" x14ac:dyDescent="0.3">
      <c r="B13" s="4"/>
      <c r="C13" s="79" t="s">
        <v>724</v>
      </c>
      <c r="D13" s="80">
        <f t="shared" ca="1" si="0"/>
        <v>8</v>
      </c>
      <c r="E13" s="11"/>
    </row>
    <row r="14" spans="2:5" ht="18.75" x14ac:dyDescent="0.3">
      <c r="B14" s="4"/>
      <c r="C14" s="79" t="s">
        <v>725</v>
      </c>
      <c r="D14" s="80">
        <f t="shared" ca="1" si="0"/>
        <v>9</v>
      </c>
      <c r="E14" s="11"/>
    </row>
    <row r="15" spans="2:5" ht="18.75" x14ac:dyDescent="0.3">
      <c r="B15" s="4"/>
      <c r="C15" s="79" t="s">
        <v>730</v>
      </c>
      <c r="D15" s="80">
        <f ca="1">_xlfn.SHEET(INDIRECT("'"&amp;C15&amp;"*'!A1"))</f>
        <v>10</v>
      </c>
      <c r="E15" s="11"/>
    </row>
    <row r="16" spans="2:5" ht="18.75" x14ac:dyDescent="0.3">
      <c r="B16" s="4"/>
      <c r="C16" s="79" t="s">
        <v>726</v>
      </c>
      <c r="D16" s="80">
        <f ca="1">_xlfn.SHEET(INDIRECT("'"&amp;C16&amp;"*'!A1"))</f>
        <v>11</v>
      </c>
      <c r="E16" s="11"/>
    </row>
    <row r="17" spans="2:5" ht="18.75" x14ac:dyDescent="0.3">
      <c r="B17" s="4"/>
      <c r="C17" s="79" t="s">
        <v>727</v>
      </c>
      <c r="D17" s="80">
        <f t="shared" ref="D17:D18" ca="1" si="1">_xlfn.SHEET(INDIRECT("'"&amp;C17&amp;"*'!A1"))</f>
        <v>12</v>
      </c>
      <c r="E17" s="11"/>
    </row>
    <row r="18" spans="2:5" ht="18.75" x14ac:dyDescent="0.3">
      <c r="B18" s="4"/>
      <c r="C18" s="532" t="s">
        <v>728</v>
      </c>
      <c r="D18" s="81">
        <f t="shared" ca="1" si="1"/>
        <v>13</v>
      </c>
      <c r="E18" s="11"/>
    </row>
    <row r="19" spans="2:5" ht="8.1" customHeight="1" x14ac:dyDescent="0.2">
      <c r="B19" s="5"/>
      <c r="C19" s="12"/>
      <c r="D19" s="12"/>
      <c r="E19" s="13"/>
    </row>
  </sheetData>
  <hyperlinks>
    <hyperlink ref="C10" location="'Pay Plan Types'!A1" display="Pay Plan Types" xr:uid="{00000000-0004-0000-0000-000000000000}"/>
    <hyperlink ref="C11" location="'Pay Scale Adjustments'!A1" display="Pay Scale Adjustments" xr:uid="{00000000-0004-0000-0000-000002000000}"/>
    <hyperlink ref="C12" location="'Shift Diff &amp; Call-Back Pay'!A1" display="Shift Diff &amp; Call-Back Pay" xr:uid="{00000000-0004-0000-0000-000003000000}"/>
    <hyperlink ref="C13" location="'Performance &amp; Incentive Pay'!A1" display="Performance &amp; Incentive Pay" xr:uid="{00000000-0004-0000-0000-000004000000}"/>
    <hyperlink ref="C15" location="'Ret and Health Benefits'!A1" display="Ret and Health Benefits" xr:uid="{00000000-0004-0000-0000-000005000000}"/>
    <hyperlink ref="C18" location="'Survey Participants'!A1" display="Survey Participants" xr:uid="{00000000-0004-0000-0000-000006000000}"/>
    <hyperlink ref="C9" location="'Comparison with 2022'!A1" display="Comparison with 2022" xr:uid="{00000000-0004-0000-0000-000009000000}"/>
    <hyperlink ref="C7" location="'Benchmark Summaries'!A1" display="Benchmark Summaries" xr:uid="{00000000-0004-0000-0000-00000A000000}"/>
    <hyperlink ref="C14" location="'Paid Leave'!A1" display="Paid Leave" xr:uid="{00000000-0004-0000-0000-00000B000000}"/>
    <hyperlink ref="C16" location="'Modern Work Environment'!A1" display="Modern Work Environment" xr:uid="{00000000-0004-0000-0000-00000C000000}"/>
    <hyperlink ref="C8" location="'Pay Rates by Benchmark'!Print_Area" display="Pay Rates by Benchmark" xr:uid="{00000000-0004-0000-0000-00000E000000}"/>
    <hyperlink ref="C17" location="'Employee Engagement'!A1" display="Employee Engagement" xr:uid="{00000000-0004-0000-0000-00000F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002060"/>
    <pageSetUpPr fitToPage="1"/>
  </sheetPr>
  <dimension ref="B2:H1025"/>
  <sheetViews>
    <sheetView showGridLines="0" zoomScale="85" zoomScaleNormal="85" workbookViewId="0">
      <selection activeCell="G1" sqref="G1:G1048576"/>
    </sheetView>
  </sheetViews>
  <sheetFormatPr defaultColWidth="8.85546875" defaultRowHeight="15" x14ac:dyDescent="0.25"/>
  <cols>
    <col min="1" max="1" width="1.5703125" customWidth="1"/>
    <col min="2" max="2" width="27.28515625" customWidth="1"/>
    <col min="3" max="3" width="13.7109375" customWidth="1"/>
    <col min="4" max="4" width="20.28515625" customWidth="1"/>
    <col min="5" max="5" width="2.7109375" customWidth="1"/>
    <col min="6" max="6" width="27.28515625" customWidth="1"/>
    <col min="7" max="7" width="13.7109375" customWidth="1"/>
    <col min="8" max="8" width="23.5703125" customWidth="1"/>
  </cols>
  <sheetData>
    <row r="2" spans="2:8" ht="55.5" customHeight="1" x14ac:dyDescent="0.25">
      <c r="B2" s="540" t="s">
        <v>739</v>
      </c>
      <c r="C2" s="540"/>
      <c r="D2" s="540"/>
      <c r="E2" s="540"/>
      <c r="F2" s="540"/>
      <c r="G2" s="540"/>
      <c r="H2" s="540"/>
    </row>
    <row r="3" spans="2:8" ht="18.75" x14ac:dyDescent="0.25">
      <c r="B3" s="541" t="s">
        <v>433</v>
      </c>
      <c r="C3" s="541"/>
      <c r="D3" s="541"/>
      <c r="E3" s="313"/>
      <c r="F3" s="541" t="s">
        <v>435</v>
      </c>
      <c r="G3" s="541"/>
      <c r="H3" s="541"/>
    </row>
    <row r="4" spans="2:8" ht="14.65" customHeight="1" x14ac:dyDescent="0.25">
      <c r="B4" s="314" t="s">
        <v>3</v>
      </c>
      <c r="C4" s="315"/>
      <c r="D4" s="316"/>
      <c r="E4" s="313"/>
      <c r="F4" s="314" t="s">
        <v>3</v>
      </c>
      <c r="G4" s="315"/>
      <c r="H4" s="316"/>
    </row>
    <row r="5" spans="2:8" ht="30" x14ac:dyDescent="0.25">
      <c r="B5" s="317" t="s">
        <v>47</v>
      </c>
      <c r="C5" s="318" t="s">
        <v>432</v>
      </c>
      <c r="D5" s="319" t="s">
        <v>436</v>
      </c>
      <c r="E5" s="313"/>
      <c r="F5" s="317" t="s">
        <v>47</v>
      </c>
      <c r="G5" s="318" t="s">
        <v>740</v>
      </c>
      <c r="H5" s="319" t="s">
        <v>48</v>
      </c>
    </row>
    <row r="6" spans="2:8" x14ac:dyDescent="0.25">
      <c r="B6" s="320" t="s">
        <v>251</v>
      </c>
      <c r="C6" s="321"/>
      <c r="D6" s="322"/>
      <c r="E6" s="323"/>
      <c r="F6" s="320" t="s">
        <v>251</v>
      </c>
      <c r="G6" s="324"/>
      <c r="H6" s="322"/>
    </row>
    <row r="7" spans="2:8" x14ac:dyDescent="0.25">
      <c r="B7" s="325" t="s">
        <v>46</v>
      </c>
      <c r="C7" s="326">
        <v>23</v>
      </c>
      <c r="D7" s="327">
        <v>61661.600000000006</v>
      </c>
      <c r="E7" s="328"/>
      <c r="F7" s="325" t="s">
        <v>437</v>
      </c>
      <c r="G7" s="329">
        <v>60843.3</v>
      </c>
      <c r="H7" s="327">
        <v>41880</v>
      </c>
    </row>
    <row r="8" spans="2:8" x14ac:dyDescent="0.25">
      <c r="B8" s="325" t="s">
        <v>18</v>
      </c>
      <c r="C8" s="326">
        <v>0</v>
      </c>
      <c r="D8" s="327" t="s">
        <v>684</v>
      </c>
      <c r="E8" s="328"/>
      <c r="F8" s="325" t="s">
        <v>438</v>
      </c>
      <c r="G8" s="329">
        <v>12740</v>
      </c>
      <c r="H8" s="327">
        <v>12740</v>
      </c>
    </row>
    <row r="9" spans="2:8" x14ac:dyDescent="0.25">
      <c r="B9" s="330" t="s">
        <v>244</v>
      </c>
      <c r="C9" s="326">
        <v>5</v>
      </c>
      <c r="D9" s="327">
        <v>60025</v>
      </c>
      <c r="E9" s="328"/>
      <c r="F9" s="330" t="s">
        <v>439</v>
      </c>
      <c r="G9" s="329">
        <v>7129.8621418156999</v>
      </c>
      <c r="H9" s="327">
        <v>5304.5693808000005</v>
      </c>
    </row>
    <row r="10" spans="2:8" x14ac:dyDescent="0.25">
      <c r="B10" s="331" t="s">
        <v>740</v>
      </c>
      <c r="C10" s="332">
        <v>28</v>
      </c>
      <c r="D10" s="333">
        <v>60843.3</v>
      </c>
      <c r="E10" s="334"/>
      <c r="F10" s="331" t="s">
        <v>435</v>
      </c>
      <c r="G10" s="335">
        <v>80713.162141815701</v>
      </c>
      <c r="H10" s="333">
        <v>59924.5693808</v>
      </c>
    </row>
    <row r="11" spans="2:8" x14ac:dyDescent="0.25">
      <c r="B11" s="320" t="s">
        <v>388</v>
      </c>
      <c r="C11" s="321"/>
      <c r="D11" s="322"/>
      <c r="E11" s="313"/>
      <c r="F11" s="320" t="s">
        <v>388</v>
      </c>
      <c r="G11" s="324"/>
      <c r="H11" s="322"/>
    </row>
    <row r="12" spans="2:8" x14ac:dyDescent="0.25">
      <c r="B12" s="325" t="s">
        <v>46</v>
      </c>
      <c r="C12" s="326">
        <v>1</v>
      </c>
      <c r="D12" s="327" t="s">
        <v>684</v>
      </c>
      <c r="E12" s="313"/>
      <c r="F12" s="325" t="s">
        <v>437</v>
      </c>
      <c r="G12" s="329">
        <v>47939</v>
      </c>
      <c r="H12" s="327">
        <v>40938</v>
      </c>
    </row>
    <row r="13" spans="2:8" x14ac:dyDescent="0.25">
      <c r="B13" s="325" t="s">
        <v>18</v>
      </c>
      <c r="C13" s="326">
        <v>0</v>
      </c>
      <c r="D13" s="327" t="s">
        <v>684</v>
      </c>
      <c r="E13" s="313"/>
      <c r="F13" s="325" t="s">
        <v>438</v>
      </c>
      <c r="G13" s="329">
        <v>12740</v>
      </c>
      <c r="H13" s="327">
        <v>12740</v>
      </c>
    </row>
    <row r="14" spans="2:8" x14ac:dyDescent="0.25">
      <c r="B14" s="330" t="s">
        <v>244</v>
      </c>
      <c r="C14" s="326">
        <v>4</v>
      </c>
      <c r="D14" s="327" t="s">
        <v>684</v>
      </c>
      <c r="E14" s="313"/>
      <c r="F14" s="330" t="s">
        <v>439</v>
      </c>
      <c r="G14" s="329">
        <v>1894.12</v>
      </c>
      <c r="H14" s="327">
        <v>5185.2545680800004</v>
      </c>
    </row>
    <row r="15" spans="2:8" x14ac:dyDescent="0.25">
      <c r="B15" s="331" t="s">
        <v>740</v>
      </c>
      <c r="C15" s="332">
        <v>5</v>
      </c>
      <c r="D15" s="333">
        <v>47939</v>
      </c>
      <c r="E15" s="313"/>
      <c r="F15" s="331" t="s">
        <v>435</v>
      </c>
      <c r="G15" s="335">
        <v>62573.120000000003</v>
      </c>
      <c r="H15" s="333">
        <v>58863.254568080003</v>
      </c>
    </row>
    <row r="16" spans="2:8" x14ac:dyDescent="0.25">
      <c r="B16" s="320" t="s">
        <v>389</v>
      </c>
      <c r="C16" s="321"/>
      <c r="D16" s="322"/>
      <c r="E16" s="323"/>
      <c r="F16" s="320" t="s">
        <v>389</v>
      </c>
      <c r="G16" s="324"/>
      <c r="H16" s="322"/>
    </row>
    <row r="17" spans="2:8" s="14" customFormat="1" x14ac:dyDescent="0.25">
      <c r="B17" s="325" t="s">
        <v>46</v>
      </c>
      <c r="C17" s="326">
        <v>15</v>
      </c>
      <c r="D17" s="327">
        <v>59904</v>
      </c>
      <c r="E17" s="328"/>
      <c r="F17" s="325" t="s">
        <v>437</v>
      </c>
      <c r="G17" s="329">
        <v>54370.25</v>
      </c>
      <c r="H17" s="327">
        <v>43914</v>
      </c>
    </row>
    <row r="18" spans="2:8" x14ac:dyDescent="0.25">
      <c r="B18" s="325" t="s">
        <v>18</v>
      </c>
      <c r="C18" s="326">
        <v>0</v>
      </c>
      <c r="D18" s="327" t="s">
        <v>684</v>
      </c>
      <c r="E18" s="328"/>
      <c r="F18" s="325" t="s">
        <v>438</v>
      </c>
      <c r="G18" s="329">
        <v>12740</v>
      </c>
      <c r="H18" s="327">
        <v>12740</v>
      </c>
    </row>
    <row r="19" spans="2:8" x14ac:dyDescent="0.25">
      <c r="B19" s="330" t="s">
        <v>244</v>
      </c>
      <c r="C19" s="326">
        <v>4</v>
      </c>
      <c r="D19" s="327" t="s">
        <v>684</v>
      </c>
      <c r="E19" s="328"/>
      <c r="F19" s="330" t="s">
        <v>439</v>
      </c>
      <c r="G19" s="329">
        <v>7587.5101286399995</v>
      </c>
      <c r="H19" s="327">
        <v>5562.1981802400005</v>
      </c>
    </row>
    <row r="20" spans="2:8" x14ac:dyDescent="0.25">
      <c r="B20" s="331" t="s">
        <v>740</v>
      </c>
      <c r="C20" s="332">
        <v>19</v>
      </c>
      <c r="D20" s="333">
        <v>54370.25</v>
      </c>
      <c r="E20" s="334"/>
      <c r="F20" s="331" t="s">
        <v>435</v>
      </c>
      <c r="G20" s="335">
        <v>74697.760128640002</v>
      </c>
      <c r="H20" s="333">
        <v>62216.198180239997</v>
      </c>
    </row>
    <row r="21" spans="2:8" x14ac:dyDescent="0.25">
      <c r="B21" s="320" t="s">
        <v>252</v>
      </c>
      <c r="C21" s="321"/>
      <c r="D21" s="322"/>
      <c r="E21" s="323"/>
      <c r="F21" s="320" t="s">
        <v>252</v>
      </c>
      <c r="G21" s="324"/>
      <c r="H21" s="322"/>
    </row>
    <row r="22" spans="2:8" x14ac:dyDescent="0.25">
      <c r="B22" s="325" t="s">
        <v>46</v>
      </c>
      <c r="C22" s="326">
        <v>24</v>
      </c>
      <c r="D22" s="327">
        <v>68747.33</v>
      </c>
      <c r="E22" s="328"/>
      <c r="F22" s="325" t="s">
        <v>437</v>
      </c>
      <c r="G22" s="329">
        <v>67772.165000000008</v>
      </c>
      <c r="H22" s="327">
        <v>47238</v>
      </c>
    </row>
    <row r="23" spans="2:8" x14ac:dyDescent="0.25">
      <c r="B23" s="325" t="s">
        <v>18</v>
      </c>
      <c r="C23" s="326">
        <v>0</v>
      </c>
      <c r="D23" s="327" t="s">
        <v>684</v>
      </c>
      <c r="E23" s="328"/>
      <c r="F23" s="325" t="s">
        <v>438</v>
      </c>
      <c r="G23" s="329">
        <v>12740</v>
      </c>
      <c r="H23" s="327">
        <v>12740</v>
      </c>
    </row>
    <row r="24" spans="2:8" x14ac:dyDescent="0.25">
      <c r="B24" s="330" t="s">
        <v>244</v>
      </c>
      <c r="C24" s="326">
        <v>6</v>
      </c>
      <c r="D24" s="327">
        <v>66797</v>
      </c>
      <c r="E24" s="328"/>
      <c r="F24" s="330" t="s">
        <v>439</v>
      </c>
      <c r="G24" s="329">
        <v>8510.988341855782</v>
      </c>
      <c r="H24" s="327">
        <v>5983.2198760800002</v>
      </c>
    </row>
    <row r="25" spans="2:8" x14ac:dyDescent="0.25">
      <c r="B25" s="331" t="s">
        <v>740</v>
      </c>
      <c r="C25" s="332">
        <v>30</v>
      </c>
      <c r="D25" s="333">
        <v>67772.165000000008</v>
      </c>
      <c r="E25" s="334"/>
      <c r="F25" s="331" t="s">
        <v>435</v>
      </c>
      <c r="G25" s="335">
        <v>89023.153341855796</v>
      </c>
      <c r="H25" s="333">
        <v>65961.219876079995</v>
      </c>
    </row>
    <row r="26" spans="2:8" x14ac:dyDescent="0.25">
      <c r="B26" s="320" t="s">
        <v>390</v>
      </c>
      <c r="C26" s="321"/>
      <c r="D26" s="322"/>
      <c r="E26" s="323"/>
      <c r="F26" s="320" t="s">
        <v>390</v>
      </c>
      <c r="G26" s="324"/>
      <c r="H26" s="322"/>
    </row>
    <row r="27" spans="2:8" x14ac:dyDescent="0.25">
      <c r="B27" s="325" t="s">
        <v>46</v>
      </c>
      <c r="C27" s="326">
        <v>19</v>
      </c>
      <c r="D27" s="327">
        <v>74940.501952439707</v>
      </c>
      <c r="E27" s="328"/>
      <c r="F27" s="325" t="s">
        <v>437</v>
      </c>
      <c r="G27" s="329">
        <v>71120.250976219861</v>
      </c>
      <c r="H27" s="327">
        <v>49560</v>
      </c>
    </row>
    <row r="28" spans="2:8" x14ac:dyDescent="0.25">
      <c r="B28" s="325" t="s">
        <v>18</v>
      </c>
      <c r="C28" s="326">
        <v>0</v>
      </c>
      <c r="D28" s="327" t="s">
        <v>684</v>
      </c>
      <c r="E28" s="328"/>
      <c r="F28" s="325" t="s">
        <v>438</v>
      </c>
      <c r="G28" s="329">
        <v>12740</v>
      </c>
      <c r="H28" s="327">
        <v>12740</v>
      </c>
    </row>
    <row r="29" spans="2:8" x14ac:dyDescent="0.25">
      <c r="B29" s="330" t="s">
        <v>244</v>
      </c>
      <c r="C29" s="326">
        <v>3</v>
      </c>
      <c r="D29" s="327" t="s">
        <v>684</v>
      </c>
      <c r="E29" s="328"/>
      <c r="F29" s="330" t="s">
        <v>439</v>
      </c>
      <c r="G29" s="329">
        <v>9202.2955249176011</v>
      </c>
      <c r="H29" s="327">
        <v>6277.3270896000004</v>
      </c>
    </row>
    <row r="30" spans="2:8" x14ac:dyDescent="0.25">
      <c r="B30" s="331" t="s">
        <v>740</v>
      </c>
      <c r="C30" s="332">
        <v>22</v>
      </c>
      <c r="D30" s="333">
        <v>71120.250976219861</v>
      </c>
      <c r="E30" s="334"/>
      <c r="F30" s="331" t="s">
        <v>435</v>
      </c>
      <c r="G30" s="335">
        <v>93062.546501137462</v>
      </c>
      <c r="H30" s="333">
        <v>68577.327089600003</v>
      </c>
    </row>
    <row r="31" spans="2:8" x14ac:dyDescent="0.25">
      <c r="B31" s="320" t="s">
        <v>253</v>
      </c>
      <c r="C31" s="321"/>
      <c r="D31" s="322"/>
      <c r="E31" s="323"/>
      <c r="F31" s="320" t="s">
        <v>253</v>
      </c>
      <c r="G31" s="324"/>
      <c r="H31" s="322"/>
    </row>
    <row r="32" spans="2:8" x14ac:dyDescent="0.25">
      <c r="B32" s="325" t="s">
        <v>46</v>
      </c>
      <c r="C32" s="326">
        <v>13</v>
      </c>
      <c r="D32" s="327">
        <v>94283.5</v>
      </c>
      <c r="E32" s="328"/>
      <c r="F32" s="325" t="s">
        <v>437</v>
      </c>
      <c r="G32" s="329">
        <v>91841.75</v>
      </c>
      <c r="H32" s="327">
        <v>66432</v>
      </c>
    </row>
    <row r="33" spans="2:8" x14ac:dyDescent="0.25">
      <c r="B33" s="325" t="s">
        <v>18</v>
      </c>
      <c r="C33" s="326">
        <v>0</v>
      </c>
      <c r="D33" s="327" t="s">
        <v>684</v>
      </c>
      <c r="E33" s="328"/>
      <c r="F33" s="325" t="s">
        <v>438</v>
      </c>
      <c r="G33" s="329">
        <v>12740</v>
      </c>
      <c r="H33" s="327">
        <v>12740</v>
      </c>
    </row>
    <row r="34" spans="2:8" x14ac:dyDescent="0.25">
      <c r="B34" s="330" t="s">
        <v>244</v>
      </c>
      <c r="C34" s="326">
        <v>3</v>
      </c>
      <c r="D34" s="327" t="s">
        <v>684</v>
      </c>
      <c r="E34" s="328"/>
      <c r="F34" s="330" t="s">
        <v>439</v>
      </c>
      <c r="G34" s="329">
        <v>11527.678760771423</v>
      </c>
      <c r="H34" s="327">
        <v>8414.3541811200012</v>
      </c>
    </row>
    <row r="35" spans="2:8" x14ac:dyDescent="0.25">
      <c r="B35" s="331" t="s">
        <v>740</v>
      </c>
      <c r="C35" s="332">
        <v>16</v>
      </c>
      <c r="D35" s="333">
        <v>91841.75</v>
      </c>
      <c r="E35" s="334"/>
      <c r="F35" s="331" t="s">
        <v>435</v>
      </c>
      <c r="G35" s="335">
        <v>116109.42876077142</v>
      </c>
      <c r="H35" s="333">
        <v>87586.354181119998</v>
      </c>
    </row>
    <row r="36" spans="2:8" x14ac:dyDescent="0.25">
      <c r="B36" s="320" t="s">
        <v>254</v>
      </c>
      <c r="C36" s="321"/>
      <c r="D36" s="322"/>
      <c r="E36" s="323"/>
      <c r="F36" s="320" t="s">
        <v>254</v>
      </c>
      <c r="G36" s="324"/>
      <c r="H36" s="322"/>
    </row>
    <row r="37" spans="2:8" x14ac:dyDescent="0.25">
      <c r="B37" s="325" t="s">
        <v>46</v>
      </c>
      <c r="C37" s="326">
        <v>8</v>
      </c>
      <c r="D37" s="327">
        <v>77116</v>
      </c>
      <c r="E37" s="328"/>
      <c r="F37" s="325" t="s">
        <v>437</v>
      </c>
      <c r="G37" s="329">
        <v>75942.75</v>
      </c>
      <c r="H37" s="327">
        <v>46074</v>
      </c>
    </row>
    <row r="38" spans="2:8" x14ac:dyDescent="0.25">
      <c r="B38" s="325" t="s">
        <v>18</v>
      </c>
      <c r="C38" s="326">
        <v>0</v>
      </c>
      <c r="D38" s="327" t="s">
        <v>684</v>
      </c>
      <c r="E38" s="328"/>
      <c r="F38" s="325" t="s">
        <v>438</v>
      </c>
      <c r="G38" s="329">
        <v>12740</v>
      </c>
      <c r="H38" s="327">
        <v>12740</v>
      </c>
    </row>
    <row r="39" spans="2:8" x14ac:dyDescent="0.25">
      <c r="B39" s="330" t="s">
        <v>244</v>
      </c>
      <c r="C39" s="326">
        <v>6</v>
      </c>
      <c r="D39" s="327">
        <v>74769.5</v>
      </c>
      <c r="E39" s="328"/>
      <c r="F39" s="330" t="s">
        <v>439</v>
      </c>
      <c r="G39" s="329">
        <v>7268.6820902956097</v>
      </c>
      <c r="H39" s="327">
        <v>5835.7862858400003</v>
      </c>
    </row>
    <row r="40" spans="2:8" x14ac:dyDescent="0.25">
      <c r="B40" s="331" t="s">
        <v>740</v>
      </c>
      <c r="C40" s="332">
        <v>14</v>
      </c>
      <c r="D40" s="333">
        <v>75942.75</v>
      </c>
      <c r="E40" s="334"/>
      <c r="F40" s="331" t="s">
        <v>435</v>
      </c>
      <c r="G40" s="335">
        <v>95951.43209029561</v>
      </c>
      <c r="H40" s="333">
        <v>64649.786285840004</v>
      </c>
    </row>
    <row r="41" spans="2:8" x14ac:dyDescent="0.25">
      <c r="B41" s="320" t="s">
        <v>391</v>
      </c>
      <c r="C41" s="321"/>
      <c r="D41" s="322"/>
      <c r="E41" s="323"/>
      <c r="F41" s="320" t="s">
        <v>391</v>
      </c>
      <c r="G41" s="324"/>
      <c r="H41" s="322"/>
    </row>
    <row r="42" spans="2:8" x14ac:dyDescent="0.25">
      <c r="B42" s="325" t="s">
        <v>46</v>
      </c>
      <c r="C42" s="326">
        <v>11</v>
      </c>
      <c r="D42" s="327">
        <v>72709.5</v>
      </c>
      <c r="E42" s="328"/>
      <c r="F42" s="325" t="s">
        <v>437</v>
      </c>
      <c r="G42" s="329">
        <v>61804.75</v>
      </c>
      <c r="H42" s="327">
        <v>49560</v>
      </c>
    </row>
    <row r="43" spans="2:8" x14ac:dyDescent="0.25">
      <c r="B43" s="325" t="s">
        <v>18</v>
      </c>
      <c r="C43" s="326">
        <v>0</v>
      </c>
      <c r="D43" s="327" t="s">
        <v>684</v>
      </c>
      <c r="E43" s="328"/>
      <c r="F43" s="325" t="s">
        <v>438</v>
      </c>
      <c r="G43" s="329">
        <v>14332.5</v>
      </c>
      <c r="H43" s="327">
        <v>12740</v>
      </c>
    </row>
    <row r="44" spans="2:8" x14ac:dyDescent="0.25">
      <c r="B44" s="330" t="s">
        <v>244</v>
      </c>
      <c r="C44" s="326">
        <v>3</v>
      </c>
      <c r="D44" s="327" t="s">
        <v>684</v>
      </c>
      <c r="E44" s="328"/>
      <c r="F44" s="330" t="s">
        <v>439</v>
      </c>
      <c r="G44" s="329">
        <v>8803.3074827988276</v>
      </c>
      <c r="H44" s="327">
        <v>6277.3270896000004</v>
      </c>
    </row>
    <row r="45" spans="2:8" x14ac:dyDescent="0.25">
      <c r="B45" s="331" t="s">
        <v>740</v>
      </c>
      <c r="C45" s="332">
        <v>14</v>
      </c>
      <c r="D45" s="333">
        <v>61804.75</v>
      </c>
      <c r="E45" s="334"/>
      <c r="F45" s="331" t="s">
        <v>435</v>
      </c>
      <c r="G45" s="335">
        <v>84940.557482798831</v>
      </c>
      <c r="H45" s="333">
        <v>68577.327089600003</v>
      </c>
    </row>
    <row r="46" spans="2:8" x14ac:dyDescent="0.25">
      <c r="B46" s="320" t="s">
        <v>255</v>
      </c>
      <c r="C46" s="321"/>
      <c r="D46" s="322"/>
      <c r="E46" s="323"/>
      <c r="F46" s="320" t="s">
        <v>255</v>
      </c>
      <c r="G46" s="324"/>
      <c r="H46" s="322"/>
    </row>
    <row r="47" spans="2:8" x14ac:dyDescent="0.25">
      <c r="B47" s="325" t="s">
        <v>46</v>
      </c>
      <c r="C47" s="326">
        <v>7</v>
      </c>
      <c r="D47" s="327">
        <v>46122</v>
      </c>
      <c r="E47" s="328"/>
      <c r="F47" s="325" t="s">
        <v>437</v>
      </c>
      <c r="G47" s="329">
        <v>46196.5</v>
      </c>
      <c r="H47" s="327">
        <v>37392</v>
      </c>
    </row>
    <row r="48" spans="2:8" x14ac:dyDescent="0.25">
      <c r="B48" s="325" t="s">
        <v>18</v>
      </c>
      <c r="C48" s="326">
        <v>0</v>
      </c>
      <c r="D48" s="327" t="s">
        <v>684</v>
      </c>
      <c r="E48" s="328"/>
      <c r="F48" s="325" t="s">
        <v>438</v>
      </c>
      <c r="G48" s="329">
        <v>12740</v>
      </c>
      <c r="H48" s="327">
        <v>12740</v>
      </c>
    </row>
    <row r="49" spans="2:8" x14ac:dyDescent="0.25">
      <c r="B49" s="330" t="s">
        <v>244</v>
      </c>
      <c r="C49" s="326">
        <v>5</v>
      </c>
      <c r="D49" s="327">
        <v>46271</v>
      </c>
      <c r="E49" s="328"/>
      <c r="F49" s="330" t="s">
        <v>439</v>
      </c>
      <c r="G49" s="329">
        <v>5175.1510912432796</v>
      </c>
      <c r="H49" s="327">
        <v>4736.1140947200001</v>
      </c>
    </row>
    <row r="50" spans="2:8" x14ac:dyDescent="0.25">
      <c r="B50" s="331" t="s">
        <v>740</v>
      </c>
      <c r="C50" s="332">
        <v>12</v>
      </c>
      <c r="D50" s="333">
        <v>46196.5</v>
      </c>
      <c r="E50" s="334"/>
      <c r="F50" s="331" t="s">
        <v>435</v>
      </c>
      <c r="G50" s="335">
        <v>64111.651091243279</v>
      </c>
      <c r="H50" s="333">
        <v>54868.114094720004</v>
      </c>
    </row>
    <row r="51" spans="2:8" x14ac:dyDescent="0.25">
      <c r="B51" s="320" t="s">
        <v>256</v>
      </c>
      <c r="C51" s="321"/>
      <c r="D51" s="322"/>
      <c r="E51" s="323"/>
      <c r="F51" s="320" t="s">
        <v>256</v>
      </c>
      <c r="G51" s="324"/>
      <c r="H51" s="322"/>
    </row>
    <row r="52" spans="2:8" x14ac:dyDescent="0.25">
      <c r="B52" s="325" t="s">
        <v>46</v>
      </c>
      <c r="C52" s="326">
        <v>14</v>
      </c>
      <c r="D52" s="327">
        <v>79830.25</v>
      </c>
      <c r="E52" s="328"/>
      <c r="F52" s="325" t="s">
        <v>437</v>
      </c>
      <c r="G52" s="329">
        <v>74930.625</v>
      </c>
      <c r="H52" s="327">
        <v>61710</v>
      </c>
    </row>
    <row r="53" spans="2:8" x14ac:dyDescent="0.25">
      <c r="B53" s="325" t="s">
        <v>18</v>
      </c>
      <c r="C53" s="326">
        <v>0</v>
      </c>
      <c r="D53" s="327" t="s">
        <v>684</v>
      </c>
      <c r="E53" s="328"/>
      <c r="F53" s="325" t="s">
        <v>438</v>
      </c>
      <c r="G53" s="329">
        <v>12740</v>
      </c>
      <c r="H53" s="327">
        <v>12740</v>
      </c>
    </row>
    <row r="54" spans="2:8" x14ac:dyDescent="0.25">
      <c r="B54" s="330" t="s">
        <v>244</v>
      </c>
      <c r="C54" s="326">
        <v>5</v>
      </c>
      <c r="D54" s="327">
        <v>70031</v>
      </c>
      <c r="E54" s="328"/>
      <c r="F54" s="330" t="s">
        <v>439</v>
      </c>
      <c r="G54" s="329">
        <v>9632.0745733600015</v>
      </c>
      <c r="H54" s="327">
        <v>7816.2601836000003</v>
      </c>
    </row>
    <row r="55" spans="2:8" x14ac:dyDescent="0.25">
      <c r="B55" s="331" t="s">
        <v>740</v>
      </c>
      <c r="C55" s="332">
        <v>19</v>
      </c>
      <c r="D55" s="333">
        <v>74930.625</v>
      </c>
      <c r="E55" s="334"/>
      <c r="F55" s="331" t="s">
        <v>435</v>
      </c>
      <c r="G55" s="335">
        <v>97302.699573360005</v>
      </c>
      <c r="H55" s="333">
        <v>82266.260183599996</v>
      </c>
    </row>
    <row r="56" spans="2:8" x14ac:dyDescent="0.25">
      <c r="B56" s="320" t="s">
        <v>257</v>
      </c>
      <c r="C56" s="321"/>
      <c r="D56" s="322"/>
      <c r="E56" s="323"/>
      <c r="F56" s="320" t="s">
        <v>257</v>
      </c>
      <c r="G56" s="324"/>
      <c r="H56" s="322"/>
    </row>
    <row r="57" spans="2:8" x14ac:dyDescent="0.25">
      <c r="B57" s="325" t="s">
        <v>46</v>
      </c>
      <c r="C57" s="326">
        <v>24</v>
      </c>
      <c r="D57" s="327">
        <v>84750.292499999996</v>
      </c>
      <c r="E57" s="328"/>
      <c r="F57" s="325" t="s">
        <v>437</v>
      </c>
      <c r="G57" s="329">
        <v>80800.146249999991</v>
      </c>
      <c r="H57" s="327">
        <v>64800</v>
      </c>
    </row>
    <row r="58" spans="2:8" x14ac:dyDescent="0.25">
      <c r="B58" s="325" t="s">
        <v>18</v>
      </c>
      <c r="C58" s="326">
        <v>0</v>
      </c>
      <c r="D58" s="327" t="s">
        <v>684</v>
      </c>
      <c r="E58" s="328"/>
      <c r="F58" s="325" t="s">
        <v>438</v>
      </c>
      <c r="G58" s="329">
        <v>12740</v>
      </c>
      <c r="H58" s="327">
        <v>12740</v>
      </c>
    </row>
    <row r="59" spans="2:8" x14ac:dyDescent="0.25">
      <c r="B59" s="330" t="s">
        <v>244</v>
      </c>
      <c r="C59" s="326">
        <v>6</v>
      </c>
      <c r="D59" s="327">
        <v>76850</v>
      </c>
      <c r="E59" s="328"/>
      <c r="F59" s="330" t="s">
        <v>439</v>
      </c>
      <c r="G59" s="329">
        <v>9827.6394044000008</v>
      </c>
      <c r="H59" s="327">
        <v>8207.6431680000005</v>
      </c>
    </row>
    <row r="60" spans="2:8" x14ac:dyDescent="0.25">
      <c r="B60" s="331" t="s">
        <v>740</v>
      </c>
      <c r="C60" s="332">
        <v>30</v>
      </c>
      <c r="D60" s="333">
        <v>80800.146249999991</v>
      </c>
      <c r="E60" s="334"/>
      <c r="F60" s="331" t="s">
        <v>435</v>
      </c>
      <c r="G60" s="335">
        <v>103367.7856544</v>
      </c>
      <c r="H60" s="333">
        <v>85747.643167999995</v>
      </c>
    </row>
    <row r="61" spans="2:8" x14ac:dyDescent="0.25">
      <c r="B61" s="320" t="s">
        <v>392</v>
      </c>
      <c r="C61" s="321"/>
      <c r="D61" s="322"/>
      <c r="E61" s="323"/>
      <c r="F61" s="320" t="s">
        <v>392</v>
      </c>
      <c r="G61" s="324"/>
      <c r="H61" s="322"/>
    </row>
    <row r="62" spans="2:8" x14ac:dyDescent="0.25">
      <c r="B62" s="325" t="s">
        <v>46</v>
      </c>
      <c r="C62" s="326">
        <v>3</v>
      </c>
      <c r="D62" s="327" t="s">
        <v>684</v>
      </c>
      <c r="E62" s="328"/>
      <c r="F62" s="325" t="s">
        <v>437</v>
      </c>
      <c r="G62" s="329">
        <v>90348.538685103558</v>
      </c>
      <c r="H62" s="327">
        <v>61710</v>
      </c>
    </row>
    <row r="63" spans="2:8" x14ac:dyDescent="0.25">
      <c r="B63" s="325" t="s">
        <v>18</v>
      </c>
      <c r="C63" s="326">
        <v>10</v>
      </c>
      <c r="D63" s="327">
        <v>73186.677370207122</v>
      </c>
      <c r="E63" s="328"/>
      <c r="F63" s="325" t="s">
        <v>438</v>
      </c>
      <c r="G63" s="329">
        <v>12740</v>
      </c>
      <c r="H63" s="327">
        <v>12740</v>
      </c>
    </row>
    <row r="64" spans="2:8" x14ac:dyDescent="0.25">
      <c r="B64" s="330" t="s">
        <v>244</v>
      </c>
      <c r="C64" s="326">
        <v>0</v>
      </c>
      <c r="D64" s="327" t="s">
        <v>684</v>
      </c>
      <c r="E64" s="328"/>
      <c r="F64" s="330" t="s">
        <v>439</v>
      </c>
      <c r="G64" s="329">
        <v>9940.6446459562812</v>
      </c>
      <c r="H64" s="327">
        <v>7816.2601836000003</v>
      </c>
    </row>
    <row r="65" spans="2:8" x14ac:dyDescent="0.25">
      <c r="B65" s="331" t="s">
        <v>740</v>
      </c>
      <c r="C65" s="332">
        <v>13</v>
      </c>
      <c r="D65" s="333">
        <v>90348.538685103558</v>
      </c>
      <c r="E65" s="334"/>
      <c r="F65" s="331" t="s">
        <v>435</v>
      </c>
      <c r="G65" s="335">
        <v>113029.18333105984</v>
      </c>
      <c r="H65" s="333">
        <v>82266.260183599996</v>
      </c>
    </row>
    <row r="66" spans="2:8" x14ac:dyDescent="0.25">
      <c r="B66" s="320" t="s">
        <v>258</v>
      </c>
      <c r="C66" s="321"/>
      <c r="D66" s="322"/>
      <c r="E66" s="323"/>
      <c r="F66" s="320" t="s">
        <v>258</v>
      </c>
      <c r="G66" s="324"/>
      <c r="H66" s="322"/>
    </row>
    <row r="67" spans="2:8" x14ac:dyDescent="0.25">
      <c r="B67" s="325" t="s">
        <v>46</v>
      </c>
      <c r="C67" s="326">
        <v>22</v>
      </c>
      <c r="D67" s="327">
        <v>53149.356</v>
      </c>
      <c r="E67" s="328"/>
      <c r="F67" s="325" t="s">
        <v>437</v>
      </c>
      <c r="G67" s="329">
        <v>47639.428</v>
      </c>
      <c r="H67" s="327">
        <v>40938</v>
      </c>
    </row>
    <row r="68" spans="2:8" x14ac:dyDescent="0.25">
      <c r="B68" s="325" t="s">
        <v>18</v>
      </c>
      <c r="C68" s="326">
        <v>0</v>
      </c>
      <c r="D68" s="327" t="s">
        <v>684</v>
      </c>
      <c r="E68" s="328"/>
      <c r="F68" s="325" t="s">
        <v>438</v>
      </c>
      <c r="G68" s="329">
        <v>12740</v>
      </c>
      <c r="H68" s="327">
        <v>12740</v>
      </c>
    </row>
    <row r="69" spans="2:8" x14ac:dyDescent="0.25">
      <c r="B69" s="330" t="s">
        <v>244</v>
      </c>
      <c r="C69" s="326">
        <v>6</v>
      </c>
      <c r="D69" s="327">
        <v>42129.5</v>
      </c>
      <c r="E69" s="328"/>
      <c r="F69" s="330" t="s">
        <v>439</v>
      </c>
      <c r="G69" s="329">
        <v>6583.7655270129599</v>
      </c>
      <c r="H69" s="327">
        <v>5185.2545680800004</v>
      </c>
    </row>
    <row r="70" spans="2:8" x14ac:dyDescent="0.25">
      <c r="B70" s="331" t="s">
        <v>740</v>
      </c>
      <c r="C70" s="332">
        <v>28</v>
      </c>
      <c r="D70" s="333">
        <v>47639.428</v>
      </c>
      <c r="E70" s="334"/>
      <c r="F70" s="331" t="s">
        <v>435</v>
      </c>
      <c r="G70" s="335">
        <v>66963.193527012962</v>
      </c>
      <c r="H70" s="333">
        <v>58863.254568080003</v>
      </c>
    </row>
    <row r="71" spans="2:8" x14ac:dyDescent="0.25">
      <c r="B71" s="320" t="s">
        <v>259</v>
      </c>
      <c r="C71" s="321"/>
      <c r="D71" s="322"/>
      <c r="E71" s="323"/>
      <c r="F71" s="320" t="s">
        <v>259</v>
      </c>
      <c r="G71" s="324"/>
      <c r="H71" s="322"/>
    </row>
    <row r="72" spans="2:8" x14ac:dyDescent="0.25">
      <c r="B72" s="325" t="s">
        <v>46</v>
      </c>
      <c r="C72" s="326">
        <v>17</v>
      </c>
      <c r="D72" s="327">
        <v>77291.067500000005</v>
      </c>
      <c r="E72" s="328"/>
      <c r="F72" s="325" t="s">
        <v>437</v>
      </c>
      <c r="G72" s="329">
        <v>73087.033750000002</v>
      </c>
      <c r="H72" s="327">
        <v>55890</v>
      </c>
    </row>
    <row r="73" spans="2:8" x14ac:dyDescent="0.25">
      <c r="B73" s="325" t="s">
        <v>18</v>
      </c>
      <c r="C73" s="326">
        <v>0</v>
      </c>
      <c r="D73" s="327" t="s">
        <v>684</v>
      </c>
      <c r="E73" s="328"/>
      <c r="F73" s="325" t="s">
        <v>438</v>
      </c>
      <c r="G73" s="329">
        <v>13536.25</v>
      </c>
      <c r="H73" s="327">
        <v>12740</v>
      </c>
    </row>
    <row r="74" spans="2:8" x14ac:dyDescent="0.25">
      <c r="B74" s="330" t="s">
        <v>244</v>
      </c>
      <c r="C74" s="326">
        <v>3</v>
      </c>
      <c r="D74" s="327" t="s">
        <v>684</v>
      </c>
      <c r="E74" s="328"/>
      <c r="F74" s="330" t="s">
        <v>439</v>
      </c>
      <c r="G74" s="329">
        <v>9824.8528588800018</v>
      </c>
      <c r="H74" s="327">
        <v>7079.0922324000003</v>
      </c>
    </row>
    <row r="75" spans="2:8" x14ac:dyDescent="0.25">
      <c r="B75" s="331" t="s">
        <v>740</v>
      </c>
      <c r="C75" s="332">
        <v>20</v>
      </c>
      <c r="D75" s="333">
        <v>73087.033750000002</v>
      </c>
      <c r="E75" s="334"/>
      <c r="F75" s="331" t="s">
        <v>435</v>
      </c>
      <c r="G75" s="335">
        <v>96448.136608879999</v>
      </c>
      <c r="H75" s="333">
        <v>75709.092232399998</v>
      </c>
    </row>
    <row r="76" spans="2:8" x14ac:dyDescent="0.25">
      <c r="B76" s="320" t="s">
        <v>260</v>
      </c>
      <c r="C76" s="321"/>
      <c r="D76" s="322"/>
      <c r="E76" s="323"/>
      <c r="F76" s="320" t="s">
        <v>260</v>
      </c>
      <c r="G76" s="324"/>
      <c r="H76" s="322"/>
    </row>
    <row r="77" spans="2:8" x14ac:dyDescent="0.25">
      <c r="B77" s="325" t="s">
        <v>46</v>
      </c>
      <c r="C77" s="326">
        <v>4</v>
      </c>
      <c r="D77" s="327" t="s">
        <v>684</v>
      </c>
      <c r="E77" s="328"/>
      <c r="F77" s="325" t="s">
        <v>437</v>
      </c>
      <c r="G77" s="329">
        <v>85862.362920524232</v>
      </c>
      <c r="H77" s="327">
        <v>73380</v>
      </c>
    </row>
    <row r="78" spans="2:8" x14ac:dyDescent="0.25">
      <c r="B78" s="325" t="s">
        <v>18</v>
      </c>
      <c r="C78" s="326">
        <v>0</v>
      </c>
      <c r="D78" s="327" t="s">
        <v>684</v>
      </c>
      <c r="E78" s="328"/>
      <c r="F78" s="325" t="s">
        <v>438</v>
      </c>
      <c r="G78" s="329">
        <v>12740</v>
      </c>
      <c r="H78" s="327">
        <v>12740</v>
      </c>
    </row>
    <row r="79" spans="2:8" x14ac:dyDescent="0.25">
      <c r="B79" s="330" t="s">
        <v>244</v>
      </c>
      <c r="C79" s="326">
        <v>4</v>
      </c>
      <c r="D79" s="327" t="s">
        <v>684</v>
      </c>
      <c r="E79" s="328"/>
      <c r="F79" s="330" t="s">
        <v>439</v>
      </c>
      <c r="G79" s="329">
        <v>6776.0427440197</v>
      </c>
      <c r="H79" s="327">
        <v>9294.3959208000015</v>
      </c>
    </row>
    <row r="80" spans="2:8" x14ac:dyDescent="0.25">
      <c r="B80" s="331" t="s">
        <v>740</v>
      </c>
      <c r="C80" s="332">
        <v>8</v>
      </c>
      <c r="D80" s="333">
        <v>85862.362920524232</v>
      </c>
      <c r="E80" s="334"/>
      <c r="F80" s="331" t="s">
        <v>435</v>
      </c>
      <c r="G80" s="335">
        <v>105378.40566454393</v>
      </c>
      <c r="H80" s="333">
        <v>95414.395920800001</v>
      </c>
    </row>
    <row r="81" spans="2:8" ht="15.75" customHeight="1" x14ac:dyDescent="0.25">
      <c r="B81" s="314" t="s">
        <v>50</v>
      </c>
      <c r="C81" s="315"/>
      <c r="D81" s="316"/>
      <c r="E81" s="313"/>
      <c r="F81" s="314" t="s">
        <v>50</v>
      </c>
      <c r="G81" s="315"/>
      <c r="H81" s="316"/>
    </row>
    <row r="82" spans="2:8" ht="30" x14ac:dyDescent="0.25">
      <c r="B82" s="317" t="s">
        <v>47</v>
      </c>
      <c r="C82" s="318" t="s">
        <v>432</v>
      </c>
      <c r="D82" s="319" t="s">
        <v>436</v>
      </c>
      <c r="E82" s="313"/>
      <c r="F82" s="317" t="s">
        <v>47</v>
      </c>
      <c r="G82" s="318" t="s">
        <v>740</v>
      </c>
      <c r="H82" s="319" t="s">
        <v>48</v>
      </c>
    </row>
    <row r="83" spans="2:8" x14ac:dyDescent="0.25">
      <c r="B83" s="320" t="s">
        <v>393</v>
      </c>
      <c r="C83" s="336"/>
      <c r="D83" s="337"/>
      <c r="E83" s="323"/>
      <c r="F83" s="320" t="s">
        <v>393</v>
      </c>
      <c r="G83" s="336"/>
      <c r="H83" s="337"/>
    </row>
    <row r="84" spans="2:8" x14ac:dyDescent="0.25">
      <c r="B84" s="325" t="s">
        <v>46</v>
      </c>
      <c r="C84" s="326">
        <v>0</v>
      </c>
      <c r="D84" s="327" t="s">
        <v>684</v>
      </c>
      <c r="E84" s="328"/>
      <c r="F84" s="325" t="s">
        <v>437</v>
      </c>
      <c r="G84" s="329">
        <v>70899.754880914799</v>
      </c>
      <c r="H84" s="327">
        <v>51636</v>
      </c>
    </row>
    <row r="85" spans="2:8" x14ac:dyDescent="0.25">
      <c r="B85" s="325" t="s">
        <v>18</v>
      </c>
      <c r="C85" s="326">
        <v>6</v>
      </c>
      <c r="D85" s="327">
        <v>59955.509761829599</v>
      </c>
      <c r="E85" s="328"/>
      <c r="F85" s="325" t="s">
        <v>438</v>
      </c>
      <c r="G85" s="329">
        <v>14332.5</v>
      </c>
      <c r="H85" s="327">
        <v>12740</v>
      </c>
    </row>
    <row r="86" spans="2:8" x14ac:dyDescent="0.25">
      <c r="B86" s="330" t="s">
        <v>244</v>
      </c>
      <c r="C86" s="326">
        <v>1</v>
      </c>
      <c r="D86" s="327" t="s">
        <v>684</v>
      </c>
      <c r="E86" s="328"/>
      <c r="F86" s="330" t="s">
        <v>439</v>
      </c>
      <c r="G86" s="329">
        <v>8137.6801623764677</v>
      </c>
      <c r="H86" s="327">
        <v>6540.2756577600003</v>
      </c>
    </row>
    <row r="87" spans="2:8" x14ac:dyDescent="0.25">
      <c r="B87" s="331" t="s">
        <v>740</v>
      </c>
      <c r="C87" s="332">
        <v>7</v>
      </c>
      <c r="D87" s="333">
        <v>70899.754880914799</v>
      </c>
      <c r="E87" s="334"/>
      <c r="F87" s="331" t="s">
        <v>435</v>
      </c>
      <c r="G87" s="335">
        <v>93369.935043291262</v>
      </c>
      <c r="H87" s="333">
        <v>70916.275657759994</v>
      </c>
    </row>
    <row r="88" spans="2:8" x14ac:dyDescent="0.25">
      <c r="B88" s="320" t="s">
        <v>394</v>
      </c>
      <c r="C88" s="321"/>
      <c r="D88" s="322"/>
      <c r="E88" s="323"/>
      <c r="F88" s="320" t="s">
        <v>394</v>
      </c>
      <c r="G88" s="338"/>
      <c r="H88" s="339"/>
    </row>
    <row r="89" spans="2:8" x14ac:dyDescent="0.25">
      <c r="B89" s="325" t="s">
        <v>46</v>
      </c>
      <c r="C89" s="326">
        <v>0</v>
      </c>
      <c r="D89" s="327" t="s">
        <v>684</v>
      </c>
      <c r="E89" s="328"/>
      <c r="F89" s="325" t="s">
        <v>437</v>
      </c>
      <c r="G89" s="329">
        <v>65027.421953421195</v>
      </c>
      <c r="H89" s="327">
        <v>40938</v>
      </c>
    </row>
    <row r="90" spans="2:8" x14ac:dyDescent="0.25">
      <c r="B90" s="325" t="s">
        <v>18</v>
      </c>
      <c r="C90" s="326">
        <v>8</v>
      </c>
      <c r="D90" s="327">
        <v>79628.84390684239</v>
      </c>
      <c r="E90" s="328"/>
      <c r="F90" s="325" t="s">
        <v>438</v>
      </c>
      <c r="G90" s="329">
        <v>14332.5</v>
      </c>
      <c r="H90" s="327">
        <v>12740</v>
      </c>
    </row>
    <row r="91" spans="2:8" x14ac:dyDescent="0.25">
      <c r="B91" s="330" t="s">
        <v>244</v>
      </c>
      <c r="C91" s="326">
        <v>1</v>
      </c>
      <c r="D91" s="327" t="s">
        <v>684</v>
      </c>
      <c r="E91" s="328"/>
      <c r="F91" s="330" t="s">
        <v>439</v>
      </c>
      <c r="G91" s="329">
        <v>10877.078777550414</v>
      </c>
      <c r="H91" s="327">
        <v>5185.2545680800004</v>
      </c>
    </row>
    <row r="92" spans="2:8" x14ac:dyDescent="0.25">
      <c r="B92" s="331" t="s">
        <v>740</v>
      </c>
      <c r="C92" s="332">
        <v>9</v>
      </c>
      <c r="D92" s="333">
        <v>65027.421953421195</v>
      </c>
      <c r="E92" s="334"/>
      <c r="F92" s="331" t="s">
        <v>435</v>
      </c>
      <c r="G92" s="335">
        <v>90237.000730971617</v>
      </c>
      <c r="H92" s="333">
        <v>58863.254568080003</v>
      </c>
    </row>
    <row r="93" spans="2:8" x14ac:dyDescent="0.25">
      <c r="B93" s="340" t="s">
        <v>261</v>
      </c>
      <c r="C93" s="338"/>
      <c r="D93" s="339"/>
      <c r="E93" s="323"/>
      <c r="F93" s="320" t="s">
        <v>261</v>
      </c>
      <c r="G93" s="338"/>
      <c r="H93" s="339"/>
    </row>
    <row r="94" spans="2:8" x14ac:dyDescent="0.25">
      <c r="B94" s="325" t="s">
        <v>46</v>
      </c>
      <c r="C94" s="326">
        <v>1</v>
      </c>
      <c r="D94" s="327" t="s">
        <v>684</v>
      </c>
      <c r="E94" s="328"/>
      <c r="F94" s="325" t="s">
        <v>437</v>
      </c>
      <c r="G94" s="329">
        <v>48093.908161073021</v>
      </c>
      <c r="H94" s="327">
        <v>37392</v>
      </c>
    </row>
    <row r="95" spans="2:8" x14ac:dyDescent="0.25">
      <c r="B95" s="325" t="s">
        <v>18</v>
      </c>
      <c r="C95" s="326">
        <v>5</v>
      </c>
      <c r="D95" s="327">
        <v>46585.47450980392</v>
      </c>
      <c r="E95" s="328"/>
      <c r="F95" s="325" t="s">
        <v>438</v>
      </c>
      <c r="G95" s="329">
        <v>12740</v>
      </c>
      <c r="H95" s="327">
        <v>12740</v>
      </c>
    </row>
    <row r="96" spans="2:8" x14ac:dyDescent="0.25">
      <c r="B96" s="330" t="s">
        <v>244</v>
      </c>
      <c r="C96" s="326">
        <v>4</v>
      </c>
      <c r="D96" s="327" t="s">
        <v>684</v>
      </c>
      <c r="E96" s="328"/>
      <c r="F96" s="330" t="s">
        <v>439</v>
      </c>
      <c r="G96" s="329">
        <v>5202.7191835816875</v>
      </c>
      <c r="H96" s="327">
        <v>4736.1140947200001</v>
      </c>
    </row>
    <row r="97" spans="2:8" x14ac:dyDescent="0.25">
      <c r="B97" s="331" t="s">
        <v>740</v>
      </c>
      <c r="C97" s="332">
        <v>10</v>
      </c>
      <c r="D97" s="333">
        <v>48093.908161073021</v>
      </c>
      <c r="E97" s="334"/>
      <c r="F97" s="331" t="s">
        <v>435</v>
      </c>
      <c r="G97" s="335">
        <v>66036.627344654713</v>
      </c>
      <c r="H97" s="333">
        <v>54868.114094720004</v>
      </c>
    </row>
    <row r="98" spans="2:8" x14ac:dyDescent="0.25">
      <c r="B98" s="340" t="s">
        <v>262</v>
      </c>
      <c r="C98" s="338"/>
      <c r="D98" s="339"/>
      <c r="E98" s="323"/>
      <c r="F98" s="320" t="s">
        <v>262</v>
      </c>
      <c r="G98" s="338"/>
      <c r="H98" s="339"/>
    </row>
    <row r="99" spans="2:8" x14ac:dyDescent="0.25">
      <c r="B99" s="325" t="s">
        <v>46</v>
      </c>
      <c r="C99" s="326">
        <v>2</v>
      </c>
      <c r="D99" s="327" t="s">
        <v>684</v>
      </c>
      <c r="E99" s="328"/>
      <c r="F99" s="325" t="s">
        <v>437</v>
      </c>
      <c r="G99" s="329">
        <v>80503.029767103362</v>
      </c>
      <c r="H99" s="327">
        <v>82992</v>
      </c>
    </row>
    <row r="100" spans="2:8" x14ac:dyDescent="0.25">
      <c r="B100" s="325" t="s">
        <v>18</v>
      </c>
      <c r="C100" s="326">
        <v>3</v>
      </c>
      <c r="D100" s="327" t="s">
        <v>684</v>
      </c>
      <c r="E100" s="328"/>
      <c r="F100" s="325" t="s">
        <v>438</v>
      </c>
      <c r="G100" s="329">
        <v>12740</v>
      </c>
      <c r="H100" s="327">
        <v>12740</v>
      </c>
    </row>
    <row r="101" spans="2:8" x14ac:dyDescent="0.25">
      <c r="B101" s="330" t="s">
        <v>244</v>
      </c>
      <c r="C101" s="326">
        <v>3</v>
      </c>
      <c r="D101" s="327" t="s">
        <v>684</v>
      </c>
      <c r="E101" s="328"/>
      <c r="F101" s="330" t="s">
        <v>439</v>
      </c>
      <c r="G101" s="329">
        <v>9053.7299164796059</v>
      </c>
      <c r="H101" s="327">
        <v>10511.862990720001</v>
      </c>
    </row>
    <row r="102" spans="2:8" x14ac:dyDescent="0.25">
      <c r="B102" s="331" t="s">
        <v>740</v>
      </c>
      <c r="C102" s="332">
        <v>8</v>
      </c>
      <c r="D102" s="333">
        <v>80503.029767103362</v>
      </c>
      <c r="E102" s="334"/>
      <c r="F102" s="331" t="s">
        <v>435</v>
      </c>
      <c r="G102" s="335">
        <v>102296.75968358296</v>
      </c>
      <c r="H102" s="333">
        <v>106243.86299071999</v>
      </c>
    </row>
    <row r="103" spans="2:8" x14ac:dyDescent="0.25">
      <c r="B103" s="340" t="s">
        <v>395</v>
      </c>
      <c r="C103" s="338"/>
      <c r="D103" s="339"/>
      <c r="E103" s="323"/>
      <c r="F103" s="320" t="s">
        <v>395</v>
      </c>
      <c r="G103" s="338"/>
      <c r="H103" s="339"/>
    </row>
    <row r="104" spans="2:8" x14ac:dyDescent="0.25">
      <c r="B104" s="325" t="s">
        <v>46</v>
      </c>
      <c r="C104" s="326">
        <v>0</v>
      </c>
      <c r="D104" s="327" t="s">
        <v>684</v>
      </c>
      <c r="E104" s="328"/>
      <c r="F104" s="325" t="s">
        <v>437</v>
      </c>
      <c r="G104" s="329">
        <v>62374.067849014798</v>
      </c>
      <c r="H104" s="327">
        <v>49560</v>
      </c>
    </row>
    <row r="105" spans="2:8" x14ac:dyDescent="0.25">
      <c r="B105" s="325" t="s">
        <v>18</v>
      </c>
      <c r="C105" s="326">
        <v>12</v>
      </c>
      <c r="D105" s="327">
        <v>62374.067849014798</v>
      </c>
      <c r="E105" s="328"/>
      <c r="F105" s="325" t="s">
        <v>438</v>
      </c>
      <c r="G105" s="329">
        <v>12740</v>
      </c>
      <c r="H105" s="327">
        <v>12740</v>
      </c>
    </row>
    <row r="106" spans="2:8" x14ac:dyDescent="0.25">
      <c r="B106" s="330" t="s">
        <v>244</v>
      </c>
      <c r="C106" s="326">
        <v>0</v>
      </c>
      <c r="D106" s="327" t="s">
        <v>684</v>
      </c>
      <c r="E106" s="328"/>
      <c r="F106" s="330" t="s">
        <v>439</v>
      </c>
      <c r="G106" s="329">
        <v>8234.6153465883945</v>
      </c>
      <c r="H106" s="327">
        <v>6277.3270896000004</v>
      </c>
    </row>
    <row r="107" spans="2:8" x14ac:dyDescent="0.25">
      <c r="B107" s="331" t="s">
        <v>740</v>
      </c>
      <c r="C107" s="332">
        <v>12</v>
      </c>
      <c r="D107" s="333">
        <v>62374.067849014798</v>
      </c>
      <c r="E107" s="334"/>
      <c r="F107" s="331" t="s">
        <v>435</v>
      </c>
      <c r="G107" s="335">
        <v>83348.683195603197</v>
      </c>
      <c r="H107" s="333">
        <v>68577.327089600003</v>
      </c>
    </row>
    <row r="108" spans="2:8" x14ac:dyDescent="0.25">
      <c r="B108" s="340" t="s">
        <v>263</v>
      </c>
      <c r="C108" s="338"/>
      <c r="D108" s="339"/>
      <c r="E108" s="323"/>
      <c r="F108" s="320" t="s">
        <v>263</v>
      </c>
      <c r="G108" s="338"/>
      <c r="H108" s="339"/>
    </row>
    <row r="109" spans="2:8" x14ac:dyDescent="0.25">
      <c r="B109" s="325" t="s">
        <v>46</v>
      </c>
      <c r="C109" s="326">
        <v>16</v>
      </c>
      <c r="D109" s="327">
        <v>58537.08</v>
      </c>
      <c r="E109" s="328"/>
      <c r="F109" s="325" t="s">
        <v>437</v>
      </c>
      <c r="G109" s="329">
        <v>49449.54</v>
      </c>
      <c r="H109" s="327">
        <v>40938</v>
      </c>
    </row>
    <row r="110" spans="2:8" x14ac:dyDescent="0.25">
      <c r="B110" s="325" t="s">
        <v>18</v>
      </c>
      <c r="C110" s="326">
        <v>0</v>
      </c>
      <c r="D110" s="327" t="s">
        <v>684</v>
      </c>
      <c r="E110" s="328"/>
      <c r="F110" s="325" t="s">
        <v>438</v>
      </c>
      <c r="G110" s="329">
        <v>12740</v>
      </c>
      <c r="H110" s="327">
        <v>12740</v>
      </c>
    </row>
    <row r="111" spans="2:8" x14ac:dyDescent="0.25">
      <c r="B111" s="330" t="s">
        <v>244</v>
      </c>
      <c r="C111" s="326">
        <v>3</v>
      </c>
      <c r="D111" s="327" t="s">
        <v>684</v>
      </c>
      <c r="E111" s="328"/>
      <c r="F111" s="330" t="s">
        <v>439</v>
      </c>
      <c r="G111" s="329">
        <v>7324.0572233638304</v>
      </c>
      <c r="H111" s="327">
        <v>5185.2545680800004</v>
      </c>
    </row>
    <row r="112" spans="2:8" x14ac:dyDescent="0.25">
      <c r="B112" s="331" t="s">
        <v>740</v>
      </c>
      <c r="C112" s="332">
        <v>19</v>
      </c>
      <c r="D112" s="333">
        <v>49449.54</v>
      </c>
      <c r="E112" s="334"/>
      <c r="F112" s="331" t="s">
        <v>435</v>
      </c>
      <c r="G112" s="335">
        <v>69513.597223363831</v>
      </c>
      <c r="H112" s="333">
        <v>58863.254568080003</v>
      </c>
    </row>
    <row r="113" spans="2:8" x14ac:dyDescent="0.25">
      <c r="B113" s="340" t="s">
        <v>396</v>
      </c>
      <c r="C113" s="338"/>
      <c r="D113" s="339"/>
      <c r="E113" s="323"/>
      <c r="F113" s="320" t="s">
        <v>396</v>
      </c>
      <c r="G113" s="338"/>
      <c r="H113" s="339"/>
    </row>
    <row r="114" spans="2:8" x14ac:dyDescent="0.25">
      <c r="B114" s="325" t="s">
        <v>46</v>
      </c>
      <c r="C114" s="326">
        <v>0</v>
      </c>
      <c r="D114" s="327" t="s">
        <v>684</v>
      </c>
      <c r="E114" s="328"/>
      <c r="F114" s="325" t="s">
        <v>437</v>
      </c>
      <c r="G114" s="329">
        <v>48750.582969432318</v>
      </c>
      <c r="H114" s="327">
        <v>49560</v>
      </c>
    </row>
    <row r="115" spans="2:8" x14ac:dyDescent="0.25">
      <c r="B115" s="325" t="s">
        <v>18</v>
      </c>
      <c r="C115" s="326">
        <v>5</v>
      </c>
      <c r="D115" s="327">
        <v>48750.582969432318</v>
      </c>
      <c r="E115" s="328"/>
      <c r="F115" s="325" t="s">
        <v>438</v>
      </c>
      <c r="G115" s="329">
        <v>14332.5</v>
      </c>
      <c r="H115" s="327">
        <v>12740</v>
      </c>
    </row>
    <row r="116" spans="2:8" x14ac:dyDescent="0.25">
      <c r="B116" s="330" t="s">
        <v>244</v>
      </c>
      <c r="C116" s="326">
        <v>0</v>
      </c>
      <c r="D116" s="327" t="s">
        <v>684</v>
      </c>
      <c r="E116" s="328"/>
      <c r="F116" s="330" t="s">
        <v>439</v>
      </c>
      <c r="G116" s="329">
        <v>5806.123777595727</v>
      </c>
      <c r="H116" s="327">
        <v>6277.3270896000004</v>
      </c>
    </row>
    <row r="117" spans="2:8" x14ac:dyDescent="0.25">
      <c r="B117" s="331" t="s">
        <v>740</v>
      </c>
      <c r="C117" s="332">
        <v>5</v>
      </c>
      <c r="D117" s="333">
        <v>48750.582969432318</v>
      </c>
      <c r="E117" s="334"/>
      <c r="F117" s="331" t="s">
        <v>435</v>
      </c>
      <c r="G117" s="335">
        <v>68889.206747028045</v>
      </c>
      <c r="H117" s="333">
        <v>68577.327089600003</v>
      </c>
    </row>
    <row r="118" spans="2:8" x14ac:dyDescent="0.25">
      <c r="B118" s="340" t="s">
        <v>397</v>
      </c>
      <c r="C118" s="338"/>
      <c r="D118" s="339"/>
      <c r="E118" s="323"/>
      <c r="F118" s="320" t="s">
        <v>397</v>
      </c>
      <c r="G118" s="338"/>
      <c r="H118" s="339"/>
    </row>
    <row r="119" spans="2:8" x14ac:dyDescent="0.25">
      <c r="B119" s="325" t="s">
        <v>46</v>
      </c>
      <c r="C119" s="326">
        <v>0</v>
      </c>
      <c r="D119" s="327" t="s">
        <v>684</v>
      </c>
      <c r="E119" s="328"/>
      <c r="F119" s="325" t="s">
        <v>437</v>
      </c>
      <c r="G119" s="329">
        <v>70667.796078431376</v>
      </c>
      <c r="H119" s="327">
        <v>52008</v>
      </c>
    </row>
    <row r="120" spans="2:8" x14ac:dyDescent="0.25">
      <c r="B120" s="325" t="s">
        <v>18</v>
      </c>
      <c r="C120" s="326">
        <v>7</v>
      </c>
      <c r="D120" s="327">
        <v>70667.796078431376</v>
      </c>
      <c r="E120" s="328"/>
      <c r="F120" s="325" t="s">
        <v>438</v>
      </c>
      <c r="G120" s="329">
        <v>12740</v>
      </c>
      <c r="H120" s="327">
        <v>12740</v>
      </c>
    </row>
    <row r="121" spans="2:8" x14ac:dyDescent="0.25">
      <c r="B121" s="330" t="s">
        <v>244</v>
      </c>
      <c r="C121" s="326">
        <v>0</v>
      </c>
      <c r="D121" s="327" t="s">
        <v>684</v>
      </c>
      <c r="E121" s="328"/>
      <c r="F121" s="330" t="s">
        <v>439</v>
      </c>
      <c r="G121" s="329">
        <v>9181.1368859744762</v>
      </c>
      <c r="H121" s="327">
        <v>6587.3936092800004</v>
      </c>
    </row>
    <row r="122" spans="2:8" x14ac:dyDescent="0.25">
      <c r="B122" s="331" t="s">
        <v>740</v>
      </c>
      <c r="C122" s="332">
        <v>7</v>
      </c>
      <c r="D122" s="333">
        <v>70667.796078431376</v>
      </c>
      <c r="E122" s="334"/>
      <c r="F122" s="331" t="s">
        <v>435</v>
      </c>
      <c r="G122" s="335">
        <v>92588.93296440586</v>
      </c>
      <c r="H122" s="333">
        <v>71335.39360928</v>
      </c>
    </row>
    <row r="123" spans="2:8" x14ac:dyDescent="0.25">
      <c r="B123" s="340" t="s">
        <v>264</v>
      </c>
      <c r="C123" s="338"/>
      <c r="D123" s="339"/>
      <c r="E123" s="323"/>
      <c r="F123" s="320" t="s">
        <v>264</v>
      </c>
      <c r="G123" s="338"/>
      <c r="H123" s="339"/>
    </row>
    <row r="124" spans="2:8" x14ac:dyDescent="0.25">
      <c r="B124" s="325" t="s">
        <v>46</v>
      </c>
      <c r="C124" s="326">
        <v>0</v>
      </c>
      <c r="D124" s="327" t="s">
        <v>684</v>
      </c>
      <c r="E124" s="328"/>
      <c r="F124" s="325" t="s">
        <v>437</v>
      </c>
      <c r="G124" s="329" t="s">
        <v>684</v>
      </c>
      <c r="H124" s="327">
        <v>40026</v>
      </c>
    </row>
    <row r="125" spans="2:8" x14ac:dyDescent="0.25">
      <c r="B125" s="325" t="s">
        <v>18</v>
      </c>
      <c r="C125" s="326">
        <v>0</v>
      </c>
      <c r="D125" s="327" t="s">
        <v>684</v>
      </c>
      <c r="E125" s="328"/>
      <c r="F125" s="325" t="s">
        <v>438</v>
      </c>
      <c r="G125" s="329" t="s">
        <v>684</v>
      </c>
      <c r="H125" s="327">
        <v>12740</v>
      </c>
    </row>
    <row r="126" spans="2:8" x14ac:dyDescent="0.25">
      <c r="B126" s="330" t="s">
        <v>244</v>
      </c>
      <c r="C126" s="326">
        <v>1</v>
      </c>
      <c r="D126" s="327" t="s">
        <v>684</v>
      </c>
      <c r="E126" s="328"/>
      <c r="F126" s="330" t="s">
        <v>439</v>
      </c>
      <c r="G126" s="329" t="s">
        <v>684</v>
      </c>
      <c r="H126" s="327">
        <v>5069.7395901600003</v>
      </c>
    </row>
    <row r="127" spans="2:8" x14ac:dyDescent="0.25">
      <c r="B127" s="331" t="s">
        <v>740</v>
      </c>
      <c r="C127" s="332">
        <v>1</v>
      </c>
      <c r="D127" s="333" t="s">
        <v>684</v>
      </c>
      <c r="E127" s="334"/>
      <c r="F127" s="331" t="s">
        <v>435</v>
      </c>
      <c r="G127" s="335">
        <v>0</v>
      </c>
      <c r="H127" s="333">
        <v>57835.739590160003</v>
      </c>
    </row>
    <row r="128" spans="2:8" ht="15.75" customHeight="1" x14ac:dyDescent="0.25">
      <c r="B128" s="314" t="s">
        <v>239</v>
      </c>
      <c r="C128" s="315"/>
      <c r="D128" s="316"/>
      <c r="E128" s="313"/>
      <c r="F128" s="314" t="s">
        <v>239</v>
      </c>
      <c r="G128" s="315"/>
      <c r="H128" s="316"/>
    </row>
    <row r="129" spans="2:8" ht="30" x14ac:dyDescent="0.25">
      <c r="B129" s="317" t="s">
        <v>47</v>
      </c>
      <c r="C129" s="318" t="s">
        <v>432</v>
      </c>
      <c r="D129" s="319" t="s">
        <v>436</v>
      </c>
      <c r="E129" s="313"/>
      <c r="F129" s="317" t="s">
        <v>47</v>
      </c>
      <c r="G129" s="318" t="s">
        <v>740</v>
      </c>
      <c r="H129" s="319" t="s">
        <v>48</v>
      </c>
    </row>
    <row r="130" spans="2:8" x14ac:dyDescent="0.25">
      <c r="B130" s="320" t="s">
        <v>265</v>
      </c>
      <c r="C130" s="321"/>
      <c r="D130" s="322"/>
      <c r="E130" s="323"/>
      <c r="F130" s="320" t="s">
        <v>265</v>
      </c>
      <c r="G130" s="324"/>
      <c r="H130" s="322"/>
    </row>
    <row r="131" spans="2:8" x14ac:dyDescent="0.25">
      <c r="B131" s="325" t="s">
        <v>46</v>
      </c>
      <c r="C131" s="326">
        <v>14</v>
      </c>
      <c r="D131" s="327">
        <v>73715.199999999997</v>
      </c>
      <c r="E131" s="328"/>
      <c r="F131" s="325" t="s">
        <v>437</v>
      </c>
      <c r="G131" s="329">
        <v>71801.100000000006</v>
      </c>
      <c r="H131" s="327">
        <v>49560</v>
      </c>
    </row>
    <row r="132" spans="2:8" x14ac:dyDescent="0.25">
      <c r="B132" s="325" t="s">
        <v>18</v>
      </c>
      <c r="C132" s="326">
        <v>0</v>
      </c>
      <c r="D132" s="327" t="s">
        <v>684</v>
      </c>
      <c r="E132" s="328"/>
      <c r="F132" s="325" t="s">
        <v>438</v>
      </c>
      <c r="G132" s="329">
        <v>12740</v>
      </c>
      <c r="H132" s="327">
        <v>12740</v>
      </c>
    </row>
    <row r="133" spans="2:8" x14ac:dyDescent="0.25">
      <c r="B133" s="330" t="s">
        <v>244</v>
      </c>
      <c r="C133" s="326">
        <v>5</v>
      </c>
      <c r="D133" s="327">
        <v>69887</v>
      </c>
      <c r="E133" s="328"/>
      <c r="F133" s="330" t="s">
        <v>439</v>
      </c>
      <c r="G133" s="329">
        <v>9115.8036852000005</v>
      </c>
      <c r="H133" s="327">
        <v>6277.3270896000004</v>
      </c>
    </row>
    <row r="134" spans="2:8" x14ac:dyDescent="0.25">
      <c r="B134" s="331" t="s">
        <v>740</v>
      </c>
      <c r="C134" s="332">
        <v>19</v>
      </c>
      <c r="D134" s="333">
        <v>71801.100000000006</v>
      </c>
      <c r="E134" s="334"/>
      <c r="F134" s="331" t="s">
        <v>435</v>
      </c>
      <c r="G134" s="335">
        <v>93656.903685199999</v>
      </c>
      <c r="H134" s="333">
        <v>68577.327089600003</v>
      </c>
    </row>
    <row r="135" spans="2:8" x14ac:dyDescent="0.25">
      <c r="B135" s="320" t="s">
        <v>266</v>
      </c>
      <c r="C135" s="321"/>
      <c r="D135" s="322"/>
      <c r="E135" s="323"/>
      <c r="F135" s="320" t="s">
        <v>266</v>
      </c>
      <c r="G135" s="324"/>
      <c r="H135" s="322"/>
    </row>
    <row r="136" spans="2:8" x14ac:dyDescent="0.25">
      <c r="B136" s="325" t="s">
        <v>46</v>
      </c>
      <c r="C136" s="326">
        <v>10</v>
      </c>
      <c r="D136" s="327">
        <v>75055.0095</v>
      </c>
      <c r="E136" s="328"/>
      <c r="F136" s="325" t="s">
        <v>437</v>
      </c>
      <c r="G136" s="329">
        <v>68427.504749999993</v>
      </c>
      <c r="H136" s="327">
        <v>53304</v>
      </c>
    </row>
    <row r="137" spans="2:8" x14ac:dyDescent="0.25">
      <c r="B137" s="325" t="s">
        <v>18</v>
      </c>
      <c r="C137" s="326">
        <v>0</v>
      </c>
      <c r="D137" s="327" t="s">
        <v>684</v>
      </c>
      <c r="E137" s="328"/>
      <c r="F137" s="325" t="s">
        <v>438</v>
      </c>
      <c r="G137" s="329">
        <v>12740</v>
      </c>
      <c r="H137" s="327">
        <v>12740</v>
      </c>
    </row>
    <row r="138" spans="2:8" x14ac:dyDescent="0.25">
      <c r="B138" s="330" t="s">
        <v>244</v>
      </c>
      <c r="C138" s="326">
        <v>3</v>
      </c>
      <c r="D138" s="327" t="s">
        <v>684</v>
      </c>
      <c r="E138" s="328"/>
      <c r="F138" s="330" t="s">
        <v>439</v>
      </c>
      <c r="G138" s="329">
        <v>9279.3009503958401</v>
      </c>
      <c r="H138" s="327">
        <v>6751.5464726399996</v>
      </c>
    </row>
    <row r="139" spans="2:8" x14ac:dyDescent="0.25">
      <c r="B139" s="331" t="s">
        <v>740</v>
      </c>
      <c r="C139" s="332">
        <v>13</v>
      </c>
      <c r="D139" s="333">
        <v>68427.504749999993</v>
      </c>
      <c r="E139" s="334"/>
      <c r="F139" s="331" t="s">
        <v>435</v>
      </c>
      <c r="G139" s="335">
        <v>90446.805700395838</v>
      </c>
      <c r="H139" s="333">
        <v>72795.546472639995</v>
      </c>
    </row>
    <row r="140" spans="2:8" x14ac:dyDescent="0.25">
      <c r="B140" s="320" t="s">
        <v>267</v>
      </c>
      <c r="C140" s="321"/>
      <c r="D140" s="322"/>
      <c r="E140" s="323"/>
      <c r="F140" s="320" t="s">
        <v>267</v>
      </c>
      <c r="G140" s="324"/>
      <c r="H140" s="322"/>
    </row>
    <row r="141" spans="2:8" x14ac:dyDescent="0.25">
      <c r="B141" s="325" t="s">
        <v>46</v>
      </c>
      <c r="C141" s="326">
        <v>1</v>
      </c>
      <c r="D141" s="327" t="s">
        <v>684</v>
      </c>
      <c r="E141" s="328"/>
      <c r="F141" s="325" t="s">
        <v>437</v>
      </c>
      <c r="G141" s="329" t="s">
        <v>684</v>
      </c>
      <c r="H141" s="327">
        <v>37392</v>
      </c>
    </row>
    <row r="142" spans="2:8" x14ac:dyDescent="0.25">
      <c r="B142" s="325" t="s">
        <v>18</v>
      </c>
      <c r="C142" s="326">
        <v>0</v>
      </c>
      <c r="D142" s="327" t="s">
        <v>684</v>
      </c>
      <c r="E142" s="328"/>
      <c r="F142" s="325" t="s">
        <v>438</v>
      </c>
      <c r="G142" s="329" t="s">
        <v>684</v>
      </c>
      <c r="H142" s="327">
        <v>12740</v>
      </c>
    </row>
    <row r="143" spans="2:8" x14ac:dyDescent="0.25">
      <c r="B143" s="330" t="s">
        <v>244</v>
      </c>
      <c r="C143" s="326">
        <v>1</v>
      </c>
      <c r="D143" s="327" t="s">
        <v>684</v>
      </c>
      <c r="E143" s="328"/>
      <c r="F143" s="330" t="s">
        <v>439</v>
      </c>
      <c r="G143" s="329" t="s">
        <v>684</v>
      </c>
      <c r="H143" s="327">
        <v>4736.1140947200001</v>
      </c>
    </row>
    <row r="144" spans="2:8" x14ac:dyDescent="0.25">
      <c r="B144" s="331" t="s">
        <v>740</v>
      </c>
      <c r="C144" s="332">
        <v>2</v>
      </c>
      <c r="D144" s="333" t="s">
        <v>684</v>
      </c>
      <c r="E144" s="334"/>
      <c r="F144" s="331" t="s">
        <v>435</v>
      </c>
      <c r="G144" s="335">
        <v>0</v>
      </c>
      <c r="H144" s="333">
        <v>54868.114094720004</v>
      </c>
    </row>
    <row r="145" spans="2:8" x14ac:dyDescent="0.25">
      <c r="B145" s="320" t="s">
        <v>268</v>
      </c>
      <c r="C145" s="321"/>
      <c r="D145" s="322"/>
      <c r="E145" s="323"/>
      <c r="F145" s="320" t="s">
        <v>268</v>
      </c>
      <c r="G145" s="324"/>
      <c r="H145" s="322"/>
    </row>
    <row r="146" spans="2:8" x14ac:dyDescent="0.25">
      <c r="B146" s="325" t="s">
        <v>46</v>
      </c>
      <c r="C146" s="326">
        <v>1</v>
      </c>
      <c r="D146" s="327" t="s">
        <v>684</v>
      </c>
      <c r="E146" s="328"/>
      <c r="F146" s="325" t="s">
        <v>437</v>
      </c>
      <c r="G146" s="329">
        <v>81785.050783609899</v>
      </c>
      <c r="H146" s="327">
        <v>49560</v>
      </c>
    </row>
    <row r="147" spans="2:8" x14ac:dyDescent="0.25">
      <c r="B147" s="325" t="s">
        <v>18</v>
      </c>
      <c r="C147" s="326">
        <v>10</v>
      </c>
      <c r="D147" s="327">
        <v>72321.652350829681</v>
      </c>
      <c r="E147" s="328"/>
      <c r="F147" s="325" t="s">
        <v>438</v>
      </c>
      <c r="G147" s="329">
        <v>12740</v>
      </c>
      <c r="H147" s="327">
        <v>12740</v>
      </c>
    </row>
    <row r="148" spans="2:8" x14ac:dyDescent="0.25">
      <c r="B148" s="330" t="s">
        <v>244</v>
      </c>
      <c r="C148" s="326">
        <v>4</v>
      </c>
      <c r="D148" s="327" t="s">
        <v>684</v>
      </c>
      <c r="E148" s="328"/>
      <c r="F148" s="330" t="s">
        <v>439</v>
      </c>
      <c r="G148" s="329">
        <v>9513.1543060879048</v>
      </c>
      <c r="H148" s="327">
        <v>6277.3270896000004</v>
      </c>
    </row>
    <row r="149" spans="2:8" x14ac:dyDescent="0.25">
      <c r="B149" s="331" t="s">
        <v>740</v>
      </c>
      <c r="C149" s="332">
        <v>15</v>
      </c>
      <c r="D149" s="333">
        <v>81785.050783609899</v>
      </c>
      <c r="E149" s="334"/>
      <c r="F149" s="331" t="s">
        <v>435</v>
      </c>
      <c r="G149" s="335">
        <v>104038.2050896978</v>
      </c>
      <c r="H149" s="333">
        <v>68577.327089600003</v>
      </c>
    </row>
    <row r="150" spans="2:8" x14ac:dyDescent="0.25">
      <c r="B150" s="320" t="s">
        <v>269</v>
      </c>
      <c r="C150" s="321"/>
      <c r="D150" s="322"/>
      <c r="E150" s="323"/>
      <c r="F150" s="320" t="s">
        <v>269</v>
      </c>
      <c r="G150" s="324"/>
      <c r="H150" s="322"/>
    </row>
    <row r="151" spans="2:8" x14ac:dyDescent="0.25">
      <c r="B151" s="325" t="s">
        <v>46</v>
      </c>
      <c r="C151" s="326">
        <v>0</v>
      </c>
      <c r="D151" s="327" t="s">
        <v>684</v>
      </c>
      <c r="E151" s="328"/>
      <c r="F151" s="325" t="s">
        <v>437</v>
      </c>
      <c r="G151" s="329" t="s">
        <v>684</v>
      </c>
      <c r="H151" s="327">
        <v>41880</v>
      </c>
    </row>
    <row r="152" spans="2:8" x14ac:dyDescent="0.25">
      <c r="B152" s="325" t="s">
        <v>18</v>
      </c>
      <c r="C152" s="326">
        <v>0</v>
      </c>
      <c r="D152" s="327" t="s">
        <v>684</v>
      </c>
      <c r="E152" s="328"/>
      <c r="F152" s="325" t="s">
        <v>438</v>
      </c>
      <c r="G152" s="329" t="s">
        <v>684</v>
      </c>
      <c r="H152" s="327">
        <v>12740</v>
      </c>
    </row>
    <row r="153" spans="2:8" x14ac:dyDescent="0.25">
      <c r="B153" s="330" t="s">
        <v>244</v>
      </c>
      <c r="C153" s="326">
        <v>4</v>
      </c>
      <c r="D153" s="327" t="s">
        <v>684</v>
      </c>
      <c r="E153" s="328"/>
      <c r="F153" s="330" t="s">
        <v>439</v>
      </c>
      <c r="G153" s="329" t="s">
        <v>684</v>
      </c>
      <c r="H153" s="327">
        <v>5304.5693808000005</v>
      </c>
    </row>
    <row r="154" spans="2:8" x14ac:dyDescent="0.25">
      <c r="B154" s="331" t="s">
        <v>740</v>
      </c>
      <c r="C154" s="332">
        <v>4</v>
      </c>
      <c r="D154" s="333" t="s">
        <v>684</v>
      </c>
      <c r="E154" s="334"/>
      <c r="F154" s="331" t="s">
        <v>435</v>
      </c>
      <c r="G154" s="335">
        <v>0</v>
      </c>
      <c r="H154" s="333">
        <v>59924.5693808</v>
      </c>
    </row>
    <row r="155" spans="2:8" ht="15.75" customHeight="1" x14ac:dyDescent="0.25">
      <c r="B155" s="314" t="s">
        <v>4</v>
      </c>
      <c r="C155" s="315"/>
      <c r="D155" s="316"/>
      <c r="E155" s="313"/>
      <c r="F155" s="314" t="s">
        <v>4</v>
      </c>
      <c r="G155" s="315"/>
      <c r="H155" s="316"/>
    </row>
    <row r="156" spans="2:8" ht="30" x14ac:dyDescent="0.25">
      <c r="B156" s="317" t="s">
        <v>47</v>
      </c>
      <c r="C156" s="318" t="s">
        <v>432</v>
      </c>
      <c r="D156" s="319" t="s">
        <v>436</v>
      </c>
      <c r="E156" s="313"/>
      <c r="F156" s="317" t="s">
        <v>47</v>
      </c>
      <c r="G156" s="318" t="s">
        <v>740</v>
      </c>
      <c r="H156" s="319" t="s">
        <v>48</v>
      </c>
    </row>
    <row r="157" spans="2:8" x14ac:dyDescent="0.25">
      <c r="B157" s="320" t="s">
        <v>398</v>
      </c>
      <c r="C157" s="321"/>
      <c r="D157" s="322"/>
      <c r="E157" s="323"/>
      <c r="F157" s="320" t="s">
        <v>398</v>
      </c>
      <c r="G157" s="324"/>
      <c r="H157" s="322"/>
    </row>
    <row r="158" spans="2:8" x14ac:dyDescent="0.25">
      <c r="B158" s="325" t="s">
        <v>46</v>
      </c>
      <c r="C158" s="326">
        <v>11</v>
      </c>
      <c r="D158" s="327">
        <v>64594.400000000001</v>
      </c>
      <c r="E158" s="328"/>
      <c r="F158" s="325" t="s">
        <v>437</v>
      </c>
      <c r="G158" s="329">
        <v>67581.7</v>
      </c>
      <c r="H158" s="327">
        <v>56976</v>
      </c>
    </row>
    <row r="159" spans="2:8" x14ac:dyDescent="0.25">
      <c r="B159" s="325" t="s">
        <v>18</v>
      </c>
      <c r="C159" s="326">
        <v>0</v>
      </c>
      <c r="D159" s="327" t="s">
        <v>684</v>
      </c>
      <c r="E159" s="328"/>
      <c r="F159" s="325" t="s">
        <v>438</v>
      </c>
      <c r="G159" s="329">
        <v>12740</v>
      </c>
      <c r="H159" s="327">
        <v>12740</v>
      </c>
    </row>
    <row r="160" spans="2:8" x14ac:dyDescent="0.25">
      <c r="B160" s="330" t="s">
        <v>244</v>
      </c>
      <c r="C160" s="326">
        <v>3</v>
      </c>
      <c r="D160" s="327" t="s">
        <v>684</v>
      </c>
      <c r="E160" s="328"/>
      <c r="F160" s="330" t="s">
        <v>439</v>
      </c>
      <c r="G160" s="329">
        <v>7246.4509887544946</v>
      </c>
      <c r="H160" s="327">
        <v>7216.6462521600006</v>
      </c>
    </row>
    <row r="161" spans="2:8" x14ac:dyDescent="0.25">
      <c r="B161" s="331" t="s">
        <v>740</v>
      </c>
      <c r="C161" s="332">
        <v>14</v>
      </c>
      <c r="D161" s="333">
        <v>67581.7</v>
      </c>
      <c r="E161" s="334"/>
      <c r="F161" s="331" t="s">
        <v>435</v>
      </c>
      <c r="G161" s="335">
        <v>87568.150988754496</v>
      </c>
      <c r="H161" s="333">
        <v>76932.646252160004</v>
      </c>
    </row>
    <row r="162" spans="2:8" x14ac:dyDescent="0.25">
      <c r="B162" s="320" t="s">
        <v>270</v>
      </c>
      <c r="C162" s="321"/>
      <c r="D162" s="322"/>
      <c r="E162" s="323"/>
      <c r="F162" s="320" t="s">
        <v>270</v>
      </c>
      <c r="G162" s="324"/>
      <c r="H162" s="322"/>
    </row>
    <row r="163" spans="2:8" x14ac:dyDescent="0.25">
      <c r="B163" s="325" t="s">
        <v>46</v>
      </c>
      <c r="C163" s="326">
        <v>19</v>
      </c>
      <c r="D163" s="327">
        <v>106974</v>
      </c>
      <c r="E163" s="328"/>
      <c r="F163" s="325" t="s">
        <v>437</v>
      </c>
      <c r="G163" s="329">
        <v>109841</v>
      </c>
      <c r="H163" s="327">
        <v>75150</v>
      </c>
    </row>
    <row r="164" spans="2:8" x14ac:dyDescent="0.25">
      <c r="B164" s="325" t="s">
        <v>18</v>
      </c>
      <c r="C164" s="326">
        <v>0</v>
      </c>
      <c r="D164" s="327" t="s">
        <v>684</v>
      </c>
      <c r="E164" s="328"/>
      <c r="F164" s="325" t="s">
        <v>438</v>
      </c>
      <c r="G164" s="329">
        <v>14332.5</v>
      </c>
      <c r="H164" s="327">
        <v>12740</v>
      </c>
    </row>
    <row r="165" spans="2:8" x14ac:dyDescent="0.25">
      <c r="B165" s="330" t="s">
        <v>244</v>
      </c>
      <c r="C165" s="326">
        <v>4</v>
      </c>
      <c r="D165" s="327" t="s">
        <v>684</v>
      </c>
      <c r="E165" s="328"/>
      <c r="F165" s="330" t="s">
        <v>439</v>
      </c>
      <c r="G165" s="329">
        <v>13111.355309632001</v>
      </c>
      <c r="H165" s="327">
        <v>9518.586174</v>
      </c>
    </row>
    <row r="166" spans="2:8" x14ac:dyDescent="0.25">
      <c r="B166" s="331" t="s">
        <v>740</v>
      </c>
      <c r="C166" s="332">
        <v>23</v>
      </c>
      <c r="D166" s="333">
        <v>109841</v>
      </c>
      <c r="E166" s="334"/>
      <c r="F166" s="331" t="s">
        <v>435</v>
      </c>
      <c r="G166" s="335">
        <v>137284.855309632</v>
      </c>
      <c r="H166" s="333">
        <v>97408.586173999996</v>
      </c>
    </row>
    <row r="167" spans="2:8" x14ac:dyDescent="0.25">
      <c r="B167" s="320" t="s">
        <v>271</v>
      </c>
      <c r="C167" s="321"/>
      <c r="D167" s="322"/>
      <c r="E167" s="323"/>
      <c r="F167" s="320" t="s">
        <v>271</v>
      </c>
      <c r="G167" s="324"/>
      <c r="H167" s="322"/>
    </row>
    <row r="168" spans="2:8" x14ac:dyDescent="0.25">
      <c r="B168" s="325" t="s">
        <v>46</v>
      </c>
      <c r="C168" s="326">
        <v>12</v>
      </c>
      <c r="D168" s="327">
        <v>103869.5275</v>
      </c>
      <c r="E168" s="328"/>
      <c r="F168" s="325" t="s">
        <v>437</v>
      </c>
      <c r="G168" s="329">
        <v>95444.013749999998</v>
      </c>
      <c r="H168" s="327">
        <v>63258</v>
      </c>
    </row>
    <row r="169" spans="2:8" x14ac:dyDescent="0.25">
      <c r="B169" s="325" t="s">
        <v>18</v>
      </c>
      <c r="C169" s="326">
        <v>0</v>
      </c>
      <c r="D169" s="327" t="s">
        <v>684</v>
      </c>
      <c r="E169" s="328"/>
      <c r="F169" s="325" t="s">
        <v>438</v>
      </c>
      <c r="G169" s="329">
        <v>12740</v>
      </c>
      <c r="H169" s="327">
        <v>12740</v>
      </c>
    </row>
    <row r="170" spans="2:8" x14ac:dyDescent="0.25">
      <c r="B170" s="330" t="s">
        <v>244</v>
      </c>
      <c r="C170" s="326">
        <v>4</v>
      </c>
      <c r="D170" s="327" t="s">
        <v>684</v>
      </c>
      <c r="E170" s="328"/>
      <c r="F170" s="330" t="s">
        <v>439</v>
      </c>
      <c r="G170" s="329">
        <v>11901.557405390759</v>
      </c>
      <c r="H170" s="327">
        <v>8012.3316592800011</v>
      </c>
    </row>
    <row r="171" spans="2:8" x14ac:dyDescent="0.25">
      <c r="B171" s="331" t="s">
        <v>740</v>
      </c>
      <c r="C171" s="332">
        <v>16</v>
      </c>
      <c r="D171" s="333">
        <v>95444.013749999998</v>
      </c>
      <c r="E171" s="334"/>
      <c r="F171" s="331" t="s">
        <v>435</v>
      </c>
      <c r="G171" s="335">
        <v>120085.57115539076</v>
      </c>
      <c r="H171" s="333">
        <v>84010.331659279997</v>
      </c>
    </row>
    <row r="172" spans="2:8" x14ac:dyDescent="0.25">
      <c r="B172" s="320" t="s">
        <v>272</v>
      </c>
      <c r="C172" s="321"/>
      <c r="D172" s="322"/>
      <c r="E172" s="323"/>
      <c r="F172" s="320" t="s">
        <v>272</v>
      </c>
      <c r="G172" s="324"/>
      <c r="H172" s="322"/>
    </row>
    <row r="173" spans="2:8" x14ac:dyDescent="0.25">
      <c r="B173" s="325" t="s">
        <v>46</v>
      </c>
      <c r="C173" s="326">
        <v>10</v>
      </c>
      <c r="D173" s="327">
        <v>80848.160000000003</v>
      </c>
      <c r="E173" s="328"/>
      <c r="F173" s="325" t="s">
        <v>437</v>
      </c>
      <c r="G173" s="329">
        <v>73465.39414092782</v>
      </c>
      <c r="H173" s="327">
        <v>52770</v>
      </c>
    </row>
    <row r="174" spans="2:8" x14ac:dyDescent="0.25">
      <c r="B174" s="325" t="s">
        <v>18</v>
      </c>
      <c r="C174" s="326">
        <v>0</v>
      </c>
      <c r="D174" s="327" t="s">
        <v>684</v>
      </c>
      <c r="E174" s="328"/>
      <c r="F174" s="325" t="s">
        <v>438</v>
      </c>
      <c r="G174" s="329">
        <v>12740</v>
      </c>
      <c r="H174" s="327">
        <v>12740</v>
      </c>
    </row>
    <row r="175" spans="2:8" x14ac:dyDescent="0.25">
      <c r="B175" s="330" t="s">
        <v>244</v>
      </c>
      <c r="C175" s="326">
        <v>4</v>
      </c>
      <c r="D175" s="327" t="s">
        <v>684</v>
      </c>
      <c r="E175" s="328"/>
      <c r="F175" s="330" t="s">
        <v>439</v>
      </c>
      <c r="G175" s="329">
        <v>8633.7978361403802</v>
      </c>
      <c r="H175" s="327">
        <v>6683.9094132000009</v>
      </c>
    </row>
    <row r="176" spans="2:8" x14ac:dyDescent="0.25">
      <c r="B176" s="331" t="s">
        <v>740</v>
      </c>
      <c r="C176" s="332">
        <v>14</v>
      </c>
      <c r="D176" s="333">
        <v>73465.39414092782</v>
      </c>
      <c r="E176" s="334"/>
      <c r="F176" s="331" t="s">
        <v>435</v>
      </c>
      <c r="G176" s="335">
        <v>94839.1919770682</v>
      </c>
      <c r="H176" s="333">
        <v>72193.909413200003</v>
      </c>
    </row>
    <row r="177" spans="2:8" x14ac:dyDescent="0.25">
      <c r="B177" s="320" t="s">
        <v>273</v>
      </c>
      <c r="C177" s="321"/>
      <c r="D177" s="322"/>
      <c r="E177" s="323"/>
      <c r="F177" s="320" t="s">
        <v>273</v>
      </c>
      <c r="G177" s="324"/>
      <c r="H177" s="322"/>
    </row>
    <row r="178" spans="2:8" x14ac:dyDescent="0.25">
      <c r="B178" s="325" t="s">
        <v>46</v>
      </c>
      <c r="C178" s="326">
        <v>10</v>
      </c>
      <c r="D178" s="327">
        <v>78651.991999999998</v>
      </c>
      <c r="E178" s="328"/>
      <c r="F178" s="325" t="s">
        <v>437</v>
      </c>
      <c r="G178" s="329">
        <v>68829.995999999999</v>
      </c>
      <c r="H178" s="327">
        <v>52770</v>
      </c>
    </row>
    <row r="179" spans="2:8" x14ac:dyDescent="0.25">
      <c r="B179" s="325" t="s">
        <v>18</v>
      </c>
      <c r="C179" s="326">
        <v>0</v>
      </c>
      <c r="D179" s="327" t="s">
        <v>684</v>
      </c>
      <c r="E179" s="328"/>
      <c r="F179" s="325" t="s">
        <v>438</v>
      </c>
      <c r="G179" s="329">
        <v>12740</v>
      </c>
      <c r="H179" s="327">
        <v>12740</v>
      </c>
    </row>
    <row r="180" spans="2:8" x14ac:dyDescent="0.25">
      <c r="B180" s="330" t="s">
        <v>244</v>
      </c>
      <c r="C180" s="326">
        <v>4</v>
      </c>
      <c r="D180" s="327" t="s">
        <v>684</v>
      </c>
      <c r="E180" s="328"/>
      <c r="F180" s="330" t="s">
        <v>439</v>
      </c>
      <c r="G180" s="329">
        <v>8211.3565123019762</v>
      </c>
      <c r="H180" s="327">
        <v>6683.9094132000009</v>
      </c>
    </row>
    <row r="181" spans="2:8" x14ac:dyDescent="0.25">
      <c r="B181" s="331" t="s">
        <v>740</v>
      </c>
      <c r="C181" s="332">
        <v>14</v>
      </c>
      <c r="D181" s="333">
        <v>68829.995999999999</v>
      </c>
      <c r="E181" s="334"/>
      <c r="F181" s="331" t="s">
        <v>435</v>
      </c>
      <c r="G181" s="335">
        <v>89781.352512301979</v>
      </c>
      <c r="H181" s="333">
        <v>72193.909413200003</v>
      </c>
    </row>
    <row r="182" spans="2:8" x14ac:dyDescent="0.25">
      <c r="B182" s="320" t="s">
        <v>274</v>
      </c>
      <c r="C182" s="321"/>
      <c r="D182" s="322"/>
      <c r="E182" s="323"/>
      <c r="F182" s="320" t="s">
        <v>274</v>
      </c>
      <c r="G182" s="324"/>
      <c r="H182" s="322"/>
    </row>
    <row r="183" spans="2:8" x14ac:dyDescent="0.25">
      <c r="B183" s="325" t="s">
        <v>46</v>
      </c>
      <c r="C183" s="326">
        <v>17</v>
      </c>
      <c r="D183" s="327">
        <v>85363.199999999997</v>
      </c>
      <c r="E183" s="328"/>
      <c r="F183" s="325" t="s">
        <v>437</v>
      </c>
      <c r="G183" s="329">
        <v>81732.600000000006</v>
      </c>
      <c r="H183" s="327">
        <v>64344</v>
      </c>
    </row>
    <row r="184" spans="2:8" x14ac:dyDescent="0.25">
      <c r="B184" s="325" t="s">
        <v>18</v>
      </c>
      <c r="C184" s="326">
        <v>0</v>
      </c>
      <c r="D184" s="327" t="s">
        <v>684</v>
      </c>
      <c r="E184" s="328"/>
      <c r="F184" s="325" t="s">
        <v>438</v>
      </c>
      <c r="G184" s="329">
        <v>12740</v>
      </c>
      <c r="H184" s="327">
        <v>12740</v>
      </c>
    </row>
    <row r="185" spans="2:8" x14ac:dyDescent="0.25">
      <c r="B185" s="330" t="s">
        <v>244</v>
      </c>
      <c r="C185" s="326">
        <v>5</v>
      </c>
      <c r="D185" s="327">
        <v>78102</v>
      </c>
      <c r="E185" s="328"/>
      <c r="F185" s="330" t="s">
        <v>439</v>
      </c>
      <c r="G185" s="329">
        <v>10589.266258901802</v>
      </c>
      <c r="H185" s="327">
        <v>8149.8856790400014</v>
      </c>
    </row>
    <row r="186" spans="2:8" x14ac:dyDescent="0.25">
      <c r="B186" s="331" t="s">
        <v>740</v>
      </c>
      <c r="C186" s="332">
        <v>22</v>
      </c>
      <c r="D186" s="333">
        <v>81732.600000000006</v>
      </c>
      <c r="E186" s="334"/>
      <c r="F186" s="331" t="s">
        <v>435</v>
      </c>
      <c r="G186" s="335">
        <v>105061.86625890181</v>
      </c>
      <c r="H186" s="333">
        <v>85233.885679040002</v>
      </c>
    </row>
    <row r="187" spans="2:8" x14ac:dyDescent="0.25">
      <c r="B187" s="320" t="s">
        <v>275</v>
      </c>
      <c r="C187" s="321"/>
      <c r="D187" s="322"/>
      <c r="E187" s="323"/>
      <c r="F187" s="320" t="s">
        <v>275</v>
      </c>
      <c r="G187" s="324"/>
      <c r="H187" s="322"/>
    </row>
    <row r="188" spans="2:8" x14ac:dyDescent="0.25">
      <c r="B188" s="325" t="s">
        <v>46</v>
      </c>
      <c r="C188" s="326">
        <v>11</v>
      </c>
      <c r="D188" s="327">
        <v>80680.320000000007</v>
      </c>
      <c r="E188" s="328"/>
      <c r="F188" s="325" t="s">
        <v>437</v>
      </c>
      <c r="G188" s="329">
        <v>77007.66</v>
      </c>
      <c r="H188" s="327">
        <v>64344</v>
      </c>
    </row>
    <row r="189" spans="2:8" x14ac:dyDescent="0.25">
      <c r="B189" s="325" t="s">
        <v>18</v>
      </c>
      <c r="C189" s="326">
        <v>0</v>
      </c>
      <c r="D189" s="327" t="s">
        <v>684</v>
      </c>
      <c r="E189" s="328"/>
      <c r="F189" s="325" t="s">
        <v>438</v>
      </c>
      <c r="G189" s="329">
        <v>12740</v>
      </c>
      <c r="H189" s="327">
        <v>12740</v>
      </c>
    </row>
    <row r="190" spans="2:8" x14ac:dyDescent="0.25">
      <c r="B190" s="330" t="s">
        <v>244</v>
      </c>
      <c r="C190" s="326">
        <v>4</v>
      </c>
      <c r="D190" s="327" t="s">
        <v>684</v>
      </c>
      <c r="E190" s="328"/>
      <c r="F190" s="330" t="s">
        <v>439</v>
      </c>
      <c r="G190" s="329">
        <v>8836.3935993806008</v>
      </c>
      <c r="H190" s="327">
        <v>8149.8856790400014</v>
      </c>
    </row>
    <row r="191" spans="2:8" x14ac:dyDescent="0.25">
      <c r="B191" s="331" t="s">
        <v>740</v>
      </c>
      <c r="C191" s="332">
        <v>15</v>
      </c>
      <c r="D191" s="333">
        <v>77007.66</v>
      </c>
      <c r="E191" s="334"/>
      <c r="F191" s="331" t="s">
        <v>435</v>
      </c>
      <c r="G191" s="335">
        <v>98584.053599380597</v>
      </c>
      <c r="H191" s="333">
        <v>85233.885679040002</v>
      </c>
    </row>
    <row r="192" spans="2:8" x14ac:dyDescent="0.25">
      <c r="B192" s="320" t="s">
        <v>276</v>
      </c>
      <c r="C192" s="321"/>
      <c r="D192" s="322"/>
      <c r="E192" s="323"/>
      <c r="F192" s="320" t="s">
        <v>276</v>
      </c>
      <c r="G192" s="324"/>
      <c r="H192" s="322"/>
    </row>
    <row r="193" spans="2:8" x14ac:dyDescent="0.25">
      <c r="B193" s="325" t="s">
        <v>46</v>
      </c>
      <c r="C193" s="326">
        <v>9</v>
      </c>
      <c r="D193" s="327">
        <v>83480.5</v>
      </c>
      <c r="E193" s="328"/>
      <c r="F193" s="325" t="s">
        <v>437</v>
      </c>
      <c r="G193" s="329">
        <v>75700</v>
      </c>
      <c r="H193" s="327">
        <v>58266</v>
      </c>
    </row>
    <row r="194" spans="2:8" x14ac:dyDescent="0.25">
      <c r="B194" s="325" t="s">
        <v>18</v>
      </c>
      <c r="C194" s="326">
        <v>0</v>
      </c>
      <c r="D194" s="327" t="s">
        <v>684</v>
      </c>
      <c r="E194" s="328"/>
      <c r="F194" s="325" t="s">
        <v>438</v>
      </c>
      <c r="G194" s="329">
        <v>12740</v>
      </c>
      <c r="H194" s="327">
        <v>12740</v>
      </c>
    </row>
    <row r="195" spans="2:8" x14ac:dyDescent="0.25">
      <c r="B195" s="330" t="s">
        <v>244</v>
      </c>
      <c r="C195" s="326">
        <v>4</v>
      </c>
      <c r="D195" s="327" t="s">
        <v>684</v>
      </c>
      <c r="E195" s="328"/>
      <c r="F195" s="330" t="s">
        <v>439</v>
      </c>
      <c r="G195" s="329">
        <v>9732.0355608320024</v>
      </c>
      <c r="H195" s="327">
        <v>7380.0391485600003</v>
      </c>
    </row>
    <row r="196" spans="2:8" x14ac:dyDescent="0.25">
      <c r="B196" s="331" t="s">
        <v>740</v>
      </c>
      <c r="C196" s="332">
        <v>13</v>
      </c>
      <c r="D196" s="333">
        <v>75700</v>
      </c>
      <c r="E196" s="334"/>
      <c r="F196" s="331" t="s">
        <v>435</v>
      </c>
      <c r="G196" s="335">
        <v>98172.03556083201</v>
      </c>
      <c r="H196" s="333">
        <v>78386.039148559998</v>
      </c>
    </row>
    <row r="197" spans="2:8" x14ac:dyDescent="0.25">
      <c r="B197" s="320" t="s">
        <v>277</v>
      </c>
      <c r="C197" s="321"/>
      <c r="D197" s="322"/>
      <c r="E197" s="323"/>
      <c r="F197" s="320" t="s">
        <v>277</v>
      </c>
      <c r="G197" s="324"/>
      <c r="H197" s="322"/>
    </row>
    <row r="198" spans="2:8" x14ac:dyDescent="0.25">
      <c r="B198" s="325" t="s">
        <v>46</v>
      </c>
      <c r="C198" s="326">
        <v>20</v>
      </c>
      <c r="D198" s="327">
        <v>76876.800000000003</v>
      </c>
      <c r="E198" s="328"/>
      <c r="F198" s="325" t="s">
        <v>437</v>
      </c>
      <c r="G198" s="329">
        <v>69098.399999999994</v>
      </c>
      <c r="H198" s="327">
        <v>59658</v>
      </c>
    </row>
    <row r="199" spans="2:8" x14ac:dyDescent="0.25">
      <c r="B199" s="325" t="s">
        <v>18</v>
      </c>
      <c r="C199" s="326">
        <v>0</v>
      </c>
      <c r="D199" s="327" t="s">
        <v>684</v>
      </c>
      <c r="E199" s="328"/>
      <c r="F199" s="325" t="s">
        <v>438</v>
      </c>
      <c r="G199" s="329">
        <v>13536.25</v>
      </c>
      <c r="H199" s="327">
        <v>12740</v>
      </c>
    </row>
    <row r="200" spans="2:8" x14ac:dyDescent="0.25">
      <c r="B200" s="330" t="s">
        <v>244</v>
      </c>
      <c r="C200" s="326">
        <v>4</v>
      </c>
      <c r="D200" s="327" t="s">
        <v>684</v>
      </c>
      <c r="E200" s="328"/>
      <c r="F200" s="330" t="s">
        <v>439</v>
      </c>
      <c r="G200" s="329">
        <v>9279.1228120697961</v>
      </c>
      <c r="H200" s="327">
        <v>7556.351483280001</v>
      </c>
    </row>
    <row r="201" spans="2:8" x14ac:dyDescent="0.25">
      <c r="B201" s="331" t="s">
        <v>740</v>
      </c>
      <c r="C201" s="332">
        <v>24</v>
      </c>
      <c r="D201" s="333">
        <v>69098.399999999994</v>
      </c>
      <c r="E201" s="334"/>
      <c r="F201" s="331" t="s">
        <v>435</v>
      </c>
      <c r="G201" s="335">
        <v>91913.772812069787</v>
      </c>
      <c r="H201" s="333">
        <v>79954.351483279999</v>
      </c>
    </row>
    <row r="202" spans="2:8" x14ac:dyDescent="0.25">
      <c r="B202" s="320" t="s">
        <v>278</v>
      </c>
      <c r="C202" s="321"/>
      <c r="D202" s="322"/>
      <c r="E202" s="323"/>
      <c r="F202" s="320" t="s">
        <v>278</v>
      </c>
      <c r="G202" s="324"/>
      <c r="H202" s="322"/>
    </row>
    <row r="203" spans="2:8" x14ac:dyDescent="0.25">
      <c r="B203" s="325" t="s">
        <v>46</v>
      </c>
      <c r="C203" s="326">
        <v>7</v>
      </c>
      <c r="D203" s="327">
        <v>80693.5</v>
      </c>
      <c r="E203" s="328"/>
      <c r="F203" s="325" t="s">
        <v>437</v>
      </c>
      <c r="G203" s="329">
        <v>70336.747228558961</v>
      </c>
      <c r="H203" s="327">
        <v>58266</v>
      </c>
    </row>
    <row r="204" spans="2:8" x14ac:dyDescent="0.25">
      <c r="B204" s="325" t="s">
        <v>18</v>
      </c>
      <c r="C204" s="326">
        <v>0</v>
      </c>
      <c r="D204" s="327" t="s">
        <v>684</v>
      </c>
      <c r="E204" s="328"/>
      <c r="F204" s="325" t="s">
        <v>438</v>
      </c>
      <c r="G204" s="329">
        <v>12740</v>
      </c>
      <c r="H204" s="327">
        <v>12740</v>
      </c>
    </row>
    <row r="205" spans="2:8" x14ac:dyDescent="0.25">
      <c r="B205" s="330" t="s">
        <v>244</v>
      </c>
      <c r="C205" s="326">
        <v>4</v>
      </c>
      <c r="D205" s="327" t="s">
        <v>684</v>
      </c>
      <c r="E205" s="328"/>
      <c r="F205" s="330" t="s">
        <v>439</v>
      </c>
      <c r="G205" s="329">
        <v>8938.4084723053948</v>
      </c>
      <c r="H205" s="327">
        <v>7380.0391485600003</v>
      </c>
    </row>
    <row r="206" spans="2:8" x14ac:dyDescent="0.25">
      <c r="B206" s="331" t="s">
        <v>740</v>
      </c>
      <c r="C206" s="332">
        <v>11</v>
      </c>
      <c r="D206" s="333">
        <v>70336.747228558961</v>
      </c>
      <c r="E206" s="334"/>
      <c r="F206" s="331" t="s">
        <v>435</v>
      </c>
      <c r="G206" s="335">
        <v>92015.155700864358</v>
      </c>
      <c r="H206" s="333">
        <v>78386.039148559998</v>
      </c>
    </row>
    <row r="207" spans="2:8" x14ac:dyDescent="0.25">
      <c r="B207" s="320" t="s">
        <v>279</v>
      </c>
      <c r="C207" s="321"/>
      <c r="D207" s="322"/>
      <c r="E207" s="323"/>
      <c r="F207" s="320" t="s">
        <v>279</v>
      </c>
      <c r="G207" s="324"/>
      <c r="H207" s="322"/>
    </row>
    <row r="208" spans="2:8" x14ac:dyDescent="0.25">
      <c r="B208" s="325" t="s">
        <v>46</v>
      </c>
      <c r="C208" s="326">
        <v>15</v>
      </c>
      <c r="D208" s="327">
        <v>70148</v>
      </c>
      <c r="E208" s="328"/>
      <c r="F208" s="325" t="s">
        <v>437</v>
      </c>
      <c r="G208" s="329">
        <v>74424</v>
      </c>
      <c r="H208" s="327">
        <v>56838</v>
      </c>
    </row>
    <row r="209" spans="2:8" x14ac:dyDescent="0.25">
      <c r="B209" s="325" t="s">
        <v>18</v>
      </c>
      <c r="C209" s="326">
        <v>0</v>
      </c>
      <c r="D209" s="327" t="s">
        <v>684</v>
      </c>
      <c r="E209" s="328"/>
      <c r="F209" s="325" t="s">
        <v>438</v>
      </c>
      <c r="G209" s="329">
        <v>12740</v>
      </c>
      <c r="H209" s="327">
        <v>12740</v>
      </c>
    </row>
    <row r="210" spans="2:8" x14ac:dyDescent="0.25">
      <c r="B210" s="330" t="s">
        <v>244</v>
      </c>
      <c r="C210" s="326">
        <v>5</v>
      </c>
      <c r="D210" s="327">
        <v>78700</v>
      </c>
      <c r="E210" s="328"/>
      <c r="F210" s="330" t="s">
        <v>439</v>
      </c>
      <c r="G210" s="329">
        <v>8234.5206661520006</v>
      </c>
      <c r="H210" s="327">
        <v>7199.1670120799999</v>
      </c>
    </row>
    <row r="211" spans="2:8" x14ac:dyDescent="0.25">
      <c r="B211" s="331" t="s">
        <v>740</v>
      </c>
      <c r="C211" s="332">
        <v>20</v>
      </c>
      <c r="D211" s="333">
        <v>74424</v>
      </c>
      <c r="E211" s="334"/>
      <c r="F211" s="331" t="s">
        <v>435</v>
      </c>
      <c r="G211" s="335">
        <v>95398.520666152006</v>
      </c>
      <c r="H211" s="333">
        <v>76777.167012079997</v>
      </c>
    </row>
    <row r="212" spans="2:8" x14ac:dyDescent="0.25">
      <c r="B212" s="320" t="s">
        <v>741</v>
      </c>
      <c r="C212" s="321"/>
      <c r="D212" s="322"/>
      <c r="E212" s="323"/>
      <c r="F212" s="320" t="s">
        <v>741</v>
      </c>
      <c r="G212" s="324"/>
      <c r="H212" s="322"/>
    </row>
    <row r="213" spans="2:8" x14ac:dyDescent="0.25">
      <c r="B213" s="325" t="s">
        <v>46</v>
      </c>
      <c r="C213" s="326">
        <v>8</v>
      </c>
      <c r="D213" s="327">
        <v>96324.871500000008</v>
      </c>
      <c r="E213" s="328"/>
      <c r="F213" s="325" t="s">
        <v>437</v>
      </c>
      <c r="G213" s="329">
        <v>87715.674965686281</v>
      </c>
      <c r="H213" s="327">
        <v>91032</v>
      </c>
    </row>
    <row r="214" spans="2:8" x14ac:dyDescent="0.25">
      <c r="B214" s="325" t="s">
        <v>18</v>
      </c>
      <c r="C214" s="326">
        <v>7</v>
      </c>
      <c r="D214" s="327">
        <v>79106.478431372554</v>
      </c>
      <c r="E214" s="328"/>
      <c r="F214" s="325" t="s">
        <v>438</v>
      </c>
      <c r="G214" s="329">
        <v>13536.25</v>
      </c>
      <c r="H214" s="327">
        <v>12740</v>
      </c>
    </row>
    <row r="215" spans="2:8" x14ac:dyDescent="0.25">
      <c r="B215" s="330" t="s">
        <v>244</v>
      </c>
      <c r="C215" s="326">
        <v>0</v>
      </c>
      <c r="D215" s="327" t="s">
        <v>684</v>
      </c>
      <c r="E215" s="328"/>
      <c r="F215" s="330" t="s">
        <v>439</v>
      </c>
      <c r="G215" s="329">
        <v>11491.673887482993</v>
      </c>
      <c r="H215" s="327">
        <v>11530.21871712</v>
      </c>
    </row>
    <row r="216" spans="2:8" x14ac:dyDescent="0.25">
      <c r="B216" s="331" t="s">
        <v>740</v>
      </c>
      <c r="C216" s="332">
        <v>15</v>
      </c>
      <c r="D216" s="333">
        <v>87715.674965686281</v>
      </c>
      <c r="E216" s="334"/>
      <c r="F216" s="331" t="s">
        <v>435</v>
      </c>
      <c r="G216" s="335">
        <v>112743.59885316927</v>
      </c>
      <c r="H216" s="333">
        <v>115302.21871712001</v>
      </c>
    </row>
    <row r="217" spans="2:8" x14ac:dyDescent="0.25">
      <c r="B217" s="314" t="s">
        <v>240</v>
      </c>
      <c r="C217" s="315"/>
      <c r="D217" s="316"/>
      <c r="E217" s="313"/>
      <c r="F217" s="314" t="s">
        <v>240</v>
      </c>
      <c r="G217" s="315"/>
      <c r="H217" s="316"/>
    </row>
    <row r="218" spans="2:8" ht="30" x14ac:dyDescent="0.25">
      <c r="B218" s="317" t="s">
        <v>47</v>
      </c>
      <c r="C218" s="318" t="s">
        <v>432</v>
      </c>
      <c r="D218" s="319" t="s">
        <v>436</v>
      </c>
      <c r="E218" s="313"/>
      <c r="F218" s="317" t="s">
        <v>47</v>
      </c>
      <c r="G218" s="318" t="s">
        <v>740</v>
      </c>
      <c r="H218" s="319" t="s">
        <v>48</v>
      </c>
    </row>
    <row r="219" spans="2:8" x14ac:dyDescent="0.25">
      <c r="B219" s="320" t="s">
        <v>399</v>
      </c>
      <c r="C219" s="321"/>
      <c r="D219" s="322"/>
      <c r="E219" s="323"/>
      <c r="F219" s="320" t="s">
        <v>399</v>
      </c>
      <c r="G219" s="324"/>
      <c r="H219" s="322"/>
    </row>
    <row r="220" spans="2:8" x14ac:dyDescent="0.25">
      <c r="B220" s="325" t="s">
        <v>46</v>
      </c>
      <c r="C220" s="326">
        <v>2</v>
      </c>
      <c r="D220" s="327" t="s">
        <v>684</v>
      </c>
      <c r="E220" s="328"/>
      <c r="F220" s="325" t="s">
        <v>437</v>
      </c>
      <c r="G220" s="329">
        <v>71237.8067987744</v>
      </c>
      <c r="H220" s="327">
        <v>77082</v>
      </c>
    </row>
    <row r="221" spans="2:8" x14ac:dyDescent="0.25">
      <c r="B221" s="325" t="s">
        <v>18</v>
      </c>
      <c r="C221" s="326">
        <v>4</v>
      </c>
      <c r="D221" s="327" t="s">
        <v>684</v>
      </c>
      <c r="E221" s="328"/>
      <c r="F221" s="325" t="s">
        <v>438</v>
      </c>
      <c r="G221" s="329">
        <v>12740</v>
      </c>
      <c r="H221" s="327">
        <v>12740</v>
      </c>
    </row>
    <row r="222" spans="2:8" x14ac:dyDescent="0.25">
      <c r="B222" s="330" t="s">
        <v>244</v>
      </c>
      <c r="C222" s="326">
        <v>1</v>
      </c>
      <c r="D222" s="327" t="s">
        <v>684</v>
      </c>
      <c r="E222" s="328"/>
      <c r="F222" s="330" t="s">
        <v>439</v>
      </c>
      <c r="G222" s="329">
        <v>8136.2221431365197</v>
      </c>
      <c r="H222" s="327">
        <v>9763.2955351200017</v>
      </c>
    </row>
    <row r="223" spans="2:8" x14ac:dyDescent="0.25">
      <c r="B223" s="331" t="s">
        <v>740</v>
      </c>
      <c r="C223" s="332">
        <v>7</v>
      </c>
      <c r="D223" s="333">
        <v>71237.8067987744</v>
      </c>
      <c r="E223" s="334"/>
      <c r="F223" s="331" t="s">
        <v>435</v>
      </c>
      <c r="G223" s="335">
        <v>92114.028941910918</v>
      </c>
      <c r="H223" s="333">
        <v>99585.295535120007</v>
      </c>
    </row>
    <row r="224" spans="2:8" x14ac:dyDescent="0.25">
      <c r="B224" s="320" t="s">
        <v>400</v>
      </c>
      <c r="C224" s="321"/>
      <c r="D224" s="322"/>
      <c r="E224" s="323"/>
      <c r="F224" s="320" t="s">
        <v>400</v>
      </c>
      <c r="G224" s="324"/>
      <c r="H224" s="322"/>
    </row>
    <row r="225" spans="2:8" x14ac:dyDescent="0.25">
      <c r="B225" s="325" t="s">
        <v>46</v>
      </c>
      <c r="C225" s="326">
        <v>0</v>
      </c>
      <c r="D225" s="327" t="s">
        <v>684</v>
      </c>
      <c r="E225" s="328"/>
      <c r="F225" s="325" t="s">
        <v>437</v>
      </c>
      <c r="G225" s="329">
        <v>48355.664847760891</v>
      </c>
      <c r="H225" s="327">
        <v>46074</v>
      </c>
    </row>
    <row r="226" spans="2:8" x14ac:dyDescent="0.25">
      <c r="B226" s="325" t="s">
        <v>18</v>
      </c>
      <c r="C226" s="326">
        <v>8</v>
      </c>
      <c r="D226" s="327">
        <v>47455.329695521781</v>
      </c>
      <c r="E226" s="328"/>
      <c r="F226" s="325" t="s">
        <v>438</v>
      </c>
      <c r="G226" s="329">
        <v>12740</v>
      </c>
      <c r="H226" s="327">
        <v>12740</v>
      </c>
    </row>
    <row r="227" spans="2:8" x14ac:dyDescent="0.25">
      <c r="B227" s="330" t="s">
        <v>244</v>
      </c>
      <c r="C227" s="326">
        <v>1</v>
      </c>
      <c r="D227" s="327" t="s">
        <v>684</v>
      </c>
      <c r="E227" s="328"/>
      <c r="F227" s="330" t="s">
        <v>439</v>
      </c>
      <c r="G227" s="329">
        <v>6433.835100368623</v>
      </c>
      <c r="H227" s="327">
        <v>5835.7862858400003</v>
      </c>
    </row>
    <row r="228" spans="2:8" x14ac:dyDescent="0.25">
      <c r="B228" s="331" t="s">
        <v>740</v>
      </c>
      <c r="C228" s="332">
        <v>9</v>
      </c>
      <c r="D228" s="333">
        <v>48355.664847760891</v>
      </c>
      <c r="E228" s="334"/>
      <c r="F228" s="331" t="s">
        <v>435</v>
      </c>
      <c r="G228" s="335">
        <v>67529.499948129509</v>
      </c>
      <c r="H228" s="333">
        <v>64649.786285840004</v>
      </c>
    </row>
    <row r="229" spans="2:8" x14ac:dyDescent="0.25">
      <c r="B229" s="320" t="s">
        <v>280</v>
      </c>
      <c r="C229" s="321"/>
      <c r="D229" s="322"/>
      <c r="E229" s="323"/>
      <c r="F229" s="320" t="s">
        <v>280</v>
      </c>
      <c r="G229" s="324"/>
      <c r="H229" s="322"/>
    </row>
    <row r="230" spans="2:8" x14ac:dyDescent="0.25">
      <c r="B230" s="325" t="s">
        <v>46</v>
      </c>
      <c r="C230" s="326">
        <v>4</v>
      </c>
      <c r="D230" s="327" t="s">
        <v>684</v>
      </c>
      <c r="E230" s="328"/>
      <c r="F230" s="325" t="s">
        <v>437</v>
      </c>
      <c r="G230" s="329">
        <v>57702.210121159078</v>
      </c>
      <c r="H230" s="327">
        <v>49560</v>
      </c>
    </row>
    <row r="231" spans="2:8" x14ac:dyDescent="0.25">
      <c r="B231" s="325" t="s">
        <v>18</v>
      </c>
      <c r="C231" s="326">
        <v>0</v>
      </c>
      <c r="D231" s="327" t="s">
        <v>684</v>
      </c>
      <c r="E231" s="328"/>
      <c r="F231" s="325" t="s">
        <v>438</v>
      </c>
      <c r="G231" s="329">
        <v>12740</v>
      </c>
      <c r="H231" s="327">
        <v>12740</v>
      </c>
    </row>
    <row r="232" spans="2:8" x14ac:dyDescent="0.25">
      <c r="B232" s="330" t="s">
        <v>244</v>
      </c>
      <c r="C232" s="326">
        <v>4</v>
      </c>
      <c r="D232" s="327" t="s">
        <v>684</v>
      </c>
      <c r="E232" s="328"/>
      <c r="F232" s="330" t="s">
        <v>439</v>
      </c>
      <c r="G232" s="329">
        <v>5221.8774540000004</v>
      </c>
      <c r="H232" s="327">
        <v>6277.3270896000004</v>
      </c>
    </row>
    <row r="233" spans="2:8" x14ac:dyDescent="0.25">
      <c r="B233" s="331" t="s">
        <v>740</v>
      </c>
      <c r="C233" s="332">
        <v>8</v>
      </c>
      <c r="D233" s="333">
        <v>57702.210121159078</v>
      </c>
      <c r="E233" s="334"/>
      <c r="F233" s="331" t="s">
        <v>435</v>
      </c>
      <c r="G233" s="335">
        <v>75664.087575159079</v>
      </c>
      <c r="H233" s="333">
        <v>68577.327089600003</v>
      </c>
    </row>
    <row r="234" spans="2:8" x14ac:dyDescent="0.25">
      <c r="B234" s="320" t="s">
        <v>281</v>
      </c>
      <c r="C234" s="321"/>
      <c r="D234" s="322"/>
      <c r="E234" s="323"/>
      <c r="F234" s="320" t="s">
        <v>281</v>
      </c>
      <c r="G234" s="324"/>
      <c r="H234" s="322"/>
    </row>
    <row r="235" spans="2:8" x14ac:dyDescent="0.25">
      <c r="B235" s="325" t="s">
        <v>46</v>
      </c>
      <c r="C235" s="326">
        <v>0</v>
      </c>
      <c r="D235" s="327" t="s">
        <v>684</v>
      </c>
      <c r="E235" s="328"/>
      <c r="F235" s="325" t="s">
        <v>437</v>
      </c>
      <c r="G235" s="329">
        <v>66075.991525423728</v>
      </c>
      <c r="H235" s="327">
        <v>55890</v>
      </c>
    </row>
    <row r="236" spans="2:8" x14ac:dyDescent="0.25">
      <c r="B236" s="325" t="s">
        <v>18</v>
      </c>
      <c r="C236" s="326">
        <v>7</v>
      </c>
      <c r="D236" s="327">
        <v>55497.983050847455</v>
      </c>
      <c r="E236" s="328"/>
      <c r="F236" s="325" t="s">
        <v>438</v>
      </c>
      <c r="G236" s="329">
        <v>12740</v>
      </c>
      <c r="H236" s="327">
        <v>12740</v>
      </c>
    </row>
    <row r="237" spans="2:8" x14ac:dyDescent="0.25">
      <c r="B237" s="330" t="s">
        <v>244</v>
      </c>
      <c r="C237" s="326">
        <v>3</v>
      </c>
      <c r="D237" s="327" t="s">
        <v>684</v>
      </c>
      <c r="E237" s="328"/>
      <c r="F237" s="330" t="s">
        <v>439</v>
      </c>
      <c r="G237" s="329">
        <v>5573.0601306532526</v>
      </c>
      <c r="H237" s="327">
        <v>7079.0922324000003</v>
      </c>
    </row>
    <row r="238" spans="2:8" x14ac:dyDescent="0.25">
      <c r="B238" s="331" t="s">
        <v>740</v>
      </c>
      <c r="C238" s="332">
        <v>10</v>
      </c>
      <c r="D238" s="333">
        <v>66075.991525423728</v>
      </c>
      <c r="E238" s="334"/>
      <c r="F238" s="331" t="s">
        <v>435</v>
      </c>
      <c r="G238" s="335">
        <v>84389.051656076976</v>
      </c>
      <c r="H238" s="333">
        <v>75709.092232399998</v>
      </c>
    </row>
    <row r="239" spans="2:8" x14ac:dyDescent="0.25">
      <c r="B239" s="320" t="s">
        <v>282</v>
      </c>
      <c r="C239" s="321"/>
      <c r="D239" s="322"/>
      <c r="E239" s="323"/>
      <c r="F239" s="320" t="s">
        <v>282</v>
      </c>
      <c r="G239" s="324"/>
      <c r="H239" s="322"/>
    </row>
    <row r="240" spans="2:8" x14ac:dyDescent="0.25">
      <c r="B240" s="325" t="s">
        <v>46</v>
      </c>
      <c r="C240" s="326">
        <v>9</v>
      </c>
      <c r="D240" s="327">
        <v>87422.399999999994</v>
      </c>
      <c r="E240" s="328"/>
      <c r="F240" s="325" t="s">
        <v>437</v>
      </c>
      <c r="G240" s="329">
        <v>80285.2</v>
      </c>
      <c r="H240" s="327">
        <v>57306</v>
      </c>
    </row>
    <row r="241" spans="2:8" x14ac:dyDescent="0.25">
      <c r="B241" s="325" t="s">
        <v>18</v>
      </c>
      <c r="C241" s="326">
        <v>0</v>
      </c>
      <c r="D241" s="327" t="s">
        <v>684</v>
      </c>
      <c r="E241" s="328"/>
      <c r="F241" s="325" t="s">
        <v>438</v>
      </c>
      <c r="G241" s="329">
        <v>12740</v>
      </c>
      <c r="H241" s="327">
        <v>12740</v>
      </c>
    </row>
    <row r="242" spans="2:8" x14ac:dyDescent="0.25">
      <c r="B242" s="330" t="s">
        <v>244</v>
      </c>
      <c r="C242" s="326">
        <v>4</v>
      </c>
      <c r="D242" s="327" t="s">
        <v>684</v>
      </c>
      <c r="E242" s="328"/>
      <c r="F242" s="330" t="s">
        <v>439</v>
      </c>
      <c r="G242" s="329">
        <v>8876.1676819028289</v>
      </c>
      <c r="H242" s="327">
        <v>7258.4444349600008</v>
      </c>
    </row>
    <row r="243" spans="2:8" ht="15.75" customHeight="1" x14ac:dyDescent="0.25">
      <c r="B243" s="331" t="s">
        <v>740</v>
      </c>
      <c r="C243" s="332">
        <v>13</v>
      </c>
      <c r="D243" s="333">
        <v>80285.2</v>
      </c>
      <c r="E243" s="334"/>
      <c r="F243" s="331" t="s">
        <v>435</v>
      </c>
      <c r="G243" s="335">
        <v>101901.36768190283</v>
      </c>
      <c r="H243" s="333">
        <v>77304.444434959994</v>
      </c>
    </row>
    <row r="244" spans="2:8" ht="15.75" customHeight="1" x14ac:dyDescent="0.25">
      <c r="B244" s="314" t="s">
        <v>5</v>
      </c>
      <c r="C244" s="315"/>
      <c r="D244" s="316"/>
      <c r="E244" s="313"/>
      <c r="F244" s="314" t="s">
        <v>5</v>
      </c>
      <c r="G244" s="315"/>
      <c r="H244" s="316"/>
    </row>
    <row r="245" spans="2:8" ht="30" x14ac:dyDescent="0.25">
      <c r="B245" s="317" t="s">
        <v>47</v>
      </c>
      <c r="C245" s="318" t="s">
        <v>432</v>
      </c>
      <c r="D245" s="319" t="s">
        <v>436</v>
      </c>
      <c r="E245" s="313"/>
      <c r="F245" s="317" t="s">
        <v>47</v>
      </c>
      <c r="G245" s="318" t="s">
        <v>740</v>
      </c>
      <c r="H245" s="319" t="s">
        <v>48</v>
      </c>
    </row>
    <row r="246" spans="2:8" x14ac:dyDescent="0.25">
      <c r="B246" s="320" t="s">
        <v>283</v>
      </c>
      <c r="C246" s="321"/>
      <c r="D246" s="322"/>
      <c r="E246" s="323"/>
      <c r="F246" s="320" t="s">
        <v>283</v>
      </c>
      <c r="G246" s="324"/>
      <c r="H246" s="322"/>
    </row>
    <row r="247" spans="2:8" x14ac:dyDescent="0.25">
      <c r="B247" s="325" t="s">
        <v>46</v>
      </c>
      <c r="C247" s="326">
        <v>1</v>
      </c>
      <c r="D247" s="327" t="s">
        <v>684</v>
      </c>
      <c r="E247" s="328"/>
      <c r="F247" s="325" t="s">
        <v>437</v>
      </c>
      <c r="G247" s="329">
        <v>107261.51359623962</v>
      </c>
      <c r="H247" s="327">
        <v>123198</v>
      </c>
    </row>
    <row r="248" spans="2:8" x14ac:dyDescent="0.25">
      <c r="B248" s="325" t="s">
        <v>18</v>
      </c>
      <c r="C248" s="326">
        <v>9</v>
      </c>
      <c r="D248" s="327">
        <v>102393.48932038837</v>
      </c>
      <c r="E248" s="328"/>
      <c r="F248" s="325" t="s">
        <v>438</v>
      </c>
      <c r="G248" s="329">
        <v>12740</v>
      </c>
      <c r="H248" s="327">
        <v>12740</v>
      </c>
    </row>
    <row r="249" spans="2:8" x14ac:dyDescent="0.25">
      <c r="B249" s="330" t="s">
        <v>244</v>
      </c>
      <c r="C249" s="326">
        <v>5</v>
      </c>
      <c r="D249" s="327">
        <v>135189.33146833046</v>
      </c>
      <c r="E249" s="328"/>
      <c r="F249" s="330" t="s">
        <v>439</v>
      </c>
      <c r="G249" s="329">
        <v>12379.253631636051</v>
      </c>
      <c r="H249" s="327">
        <v>15604.401589680001</v>
      </c>
    </row>
    <row r="250" spans="2:8" x14ac:dyDescent="0.25">
      <c r="B250" s="331" t="s">
        <v>740</v>
      </c>
      <c r="C250" s="332">
        <v>15</v>
      </c>
      <c r="D250" s="333">
        <v>107261.51359623962</v>
      </c>
      <c r="E250" s="334"/>
      <c r="F250" s="331" t="s">
        <v>435</v>
      </c>
      <c r="G250" s="335">
        <v>132380.76722787568</v>
      </c>
      <c r="H250" s="333">
        <v>151542.40158968</v>
      </c>
    </row>
    <row r="251" spans="2:8" x14ac:dyDescent="0.25">
      <c r="B251" s="320" t="s">
        <v>401</v>
      </c>
      <c r="C251" s="321"/>
      <c r="D251" s="322"/>
      <c r="E251" s="323"/>
      <c r="F251" s="320" t="s">
        <v>401</v>
      </c>
      <c r="G251" s="324"/>
      <c r="H251" s="322"/>
    </row>
    <row r="252" spans="2:8" x14ac:dyDescent="0.25">
      <c r="B252" s="325" t="s">
        <v>46</v>
      </c>
      <c r="C252" s="326">
        <v>0</v>
      </c>
      <c r="D252" s="327" t="s">
        <v>684</v>
      </c>
      <c r="E252" s="328"/>
      <c r="F252" s="325" t="s">
        <v>437</v>
      </c>
      <c r="G252" s="329">
        <v>89154.209708737879</v>
      </c>
      <c r="H252" s="327">
        <v>80970</v>
      </c>
    </row>
    <row r="253" spans="2:8" x14ac:dyDescent="0.25">
      <c r="B253" s="325" t="s">
        <v>18</v>
      </c>
      <c r="C253" s="326">
        <v>5</v>
      </c>
      <c r="D253" s="327">
        <v>89154.209708737879</v>
      </c>
      <c r="E253" s="328"/>
      <c r="F253" s="325" t="s">
        <v>438</v>
      </c>
      <c r="G253" s="329">
        <v>14332.5</v>
      </c>
      <c r="H253" s="327">
        <v>12740</v>
      </c>
    </row>
    <row r="254" spans="2:8" x14ac:dyDescent="0.25">
      <c r="B254" s="330" t="s">
        <v>244</v>
      </c>
      <c r="C254" s="326">
        <v>0</v>
      </c>
      <c r="D254" s="327" t="s">
        <v>684</v>
      </c>
      <c r="E254" s="328"/>
      <c r="F254" s="330" t="s">
        <v>439</v>
      </c>
      <c r="G254" s="329">
        <v>11604.64927626662</v>
      </c>
      <c r="H254" s="327">
        <v>10255.754125200001</v>
      </c>
    </row>
    <row r="255" spans="2:8" x14ac:dyDescent="0.25">
      <c r="B255" s="331" t="s">
        <v>740</v>
      </c>
      <c r="C255" s="332">
        <v>5</v>
      </c>
      <c r="D255" s="333">
        <v>89154.209708737879</v>
      </c>
      <c r="E255" s="334"/>
      <c r="F255" s="331" t="s">
        <v>435</v>
      </c>
      <c r="G255" s="335">
        <v>115091.3589850045</v>
      </c>
      <c r="H255" s="333">
        <v>103965.75412520001</v>
      </c>
    </row>
    <row r="256" spans="2:8" x14ac:dyDescent="0.25">
      <c r="B256" s="320" t="s">
        <v>402</v>
      </c>
      <c r="C256" s="321"/>
      <c r="D256" s="322"/>
      <c r="E256" s="323"/>
      <c r="F256" s="320" t="s">
        <v>402</v>
      </c>
      <c r="G256" s="324"/>
      <c r="H256" s="322"/>
    </row>
    <row r="257" spans="2:8" x14ac:dyDescent="0.25">
      <c r="B257" s="325" t="s">
        <v>46</v>
      </c>
      <c r="C257" s="326">
        <v>0</v>
      </c>
      <c r="D257" s="327" t="s">
        <v>684</v>
      </c>
      <c r="E257" s="328"/>
      <c r="F257" s="325" t="s">
        <v>437</v>
      </c>
      <c r="G257" s="329">
        <v>121554.35566244199</v>
      </c>
      <c r="H257" s="327">
        <v>98676</v>
      </c>
    </row>
    <row r="258" spans="2:8" x14ac:dyDescent="0.25">
      <c r="B258" s="325" t="s">
        <v>18</v>
      </c>
      <c r="C258" s="326">
        <v>6</v>
      </c>
      <c r="D258" s="327">
        <v>121554.35566244199</v>
      </c>
      <c r="E258" s="328"/>
      <c r="F258" s="325" t="s">
        <v>438</v>
      </c>
      <c r="G258" s="329">
        <v>12740</v>
      </c>
      <c r="H258" s="327">
        <v>12740</v>
      </c>
    </row>
    <row r="259" spans="2:8" x14ac:dyDescent="0.25">
      <c r="B259" s="330" t="s">
        <v>244</v>
      </c>
      <c r="C259" s="326">
        <v>0</v>
      </c>
      <c r="D259" s="327" t="s">
        <v>684</v>
      </c>
      <c r="E259" s="328"/>
      <c r="F259" s="330" t="s">
        <v>439</v>
      </c>
      <c r="G259" s="329">
        <v>15792.302015258754</v>
      </c>
      <c r="H259" s="327">
        <v>12498.41662416</v>
      </c>
    </row>
    <row r="260" spans="2:8" x14ac:dyDescent="0.25">
      <c r="B260" s="331" t="s">
        <v>740</v>
      </c>
      <c r="C260" s="332">
        <v>6</v>
      </c>
      <c r="D260" s="333">
        <v>121554.35566244199</v>
      </c>
      <c r="E260" s="334"/>
      <c r="F260" s="331" t="s">
        <v>435</v>
      </c>
      <c r="G260" s="335">
        <v>150086.65767770074</v>
      </c>
      <c r="H260" s="333">
        <v>123914.41662416</v>
      </c>
    </row>
    <row r="261" spans="2:8" x14ac:dyDescent="0.25">
      <c r="B261" s="320" t="s">
        <v>284</v>
      </c>
      <c r="C261" s="321"/>
      <c r="D261" s="322"/>
      <c r="E261" s="323"/>
      <c r="F261" s="320" t="s">
        <v>284</v>
      </c>
      <c r="G261" s="324"/>
      <c r="H261" s="322"/>
    </row>
    <row r="262" spans="2:8" x14ac:dyDescent="0.25">
      <c r="B262" s="325" t="s">
        <v>46</v>
      </c>
      <c r="C262" s="326">
        <v>21</v>
      </c>
      <c r="D262" s="327">
        <v>88012</v>
      </c>
      <c r="E262" s="328"/>
      <c r="F262" s="325" t="s">
        <v>437</v>
      </c>
      <c r="G262" s="329">
        <v>86190.5</v>
      </c>
      <c r="H262" s="327">
        <v>64800</v>
      </c>
    </row>
    <row r="263" spans="2:8" x14ac:dyDescent="0.25">
      <c r="B263" s="325" t="s">
        <v>18</v>
      </c>
      <c r="C263" s="326">
        <v>0</v>
      </c>
      <c r="D263" s="327" t="s">
        <v>684</v>
      </c>
      <c r="E263" s="328"/>
      <c r="F263" s="325" t="s">
        <v>438</v>
      </c>
      <c r="G263" s="329">
        <v>12740</v>
      </c>
      <c r="H263" s="327">
        <v>12740</v>
      </c>
    </row>
    <row r="264" spans="2:8" x14ac:dyDescent="0.25">
      <c r="B264" s="330" t="s">
        <v>244</v>
      </c>
      <c r="C264" s="326">
        <v>4</v>
      </c>
      <c r="D264" s="327" t="s">
        <v>684</v>
      </c>
      <c r="E264" s="328"/>
      <c r="F264" s="330" t="s">
        <v>439</v>
      </c>
      <c r="G264" s="329">
        <v>11117.80998016</v>
      </c>
      <c r="H264" s="327">
        <v>8207.6431680000005</v>
      </c>
    </row>
    <row r="265" spans="2:8" x14ac:dyDescent="0.25">
      <c r="B265" s="331" t="s">
        <v>740</v>
      </c>
      <c r="C265" s="332">
        <v>25</v>
      </c>
      <c r="D265" s="333">
        <v>86190.5</v>
      </c>
      <c r="E265" s="334"/>
      <c r="F265" s="331" t="s">
        <v>435</v>
      </c>
      <c r="G265" s="335">
        <v>110048.30998016</v>
      </c>
      <c r="H265" s="333">
        <v>85747.643167999995</v>
      </c>
    </row>
    <row r="266" spans="2:8" x14ac:dyDescent="0.25">
      <c r="B266" s="320" t="s">
        <v>285</v>
      </c>
      <c r="C266" s="321"/>
      <c r="D266" s="322"/>
      <c r="E266" s="323"/>
      <c r="F266" s="320" t="s">
        <v>285</v>
      </c>
      <c r="G266" s="324"/>
      <c r="H266" s="322"/>
    </row>
    <row r="267" spans="2:8" x14ac:dyDescent="0.25">
      <c r="B267" s="325" t="s">
        <v>46</v>
      </c>
      <c r="C267" s="326">
        <v>26</v>
      </c>
      <c r="D267" s="327">
        <v>98872</v>
      </c>
      <c r="E267" s="328"/>
      <c r="F267" s="325" t="s">
        <v>437</v>
      </c>
      <c r="G267" s="329">
        <v>91148.691957359901</v>
      </c>
      <c r="H267" s="327">
        <v>60228</v>
      </c>
    </row>
    <row r="268" spans="2:8" x14ac:dyDescent="0.25">
      <c r="B268" s="325" t="s">
        <v>18</v>
      </c>
      <c r="C268" s="326">
        <v>0</v>
      </c>
      <c r="D268" s="327" t="s">
        <v>684</v>
      </c>
      <c r="E268" s="328"/>
      <c r="F268" s="325" t="s">
        <v>438</v>
      </c>
      <c r="G268" s="329">
        <v>13536.25</v>
      </c>
      <c r="H268" s="327">
        <v>12740</v>
      </c>
    </row>
    <row r="269" spans="2:8" x14ac:dyDescent="0.25">
      <c r="B269" s="330" t="s">
        <v>244</v>
      </c>
      <c r="C269" s="326">
        <v>4</v>
      </c>
      <c r="D269" s="327" t="s">
        <v>684</v>
      </c>
      <c r="E269" s="328"/>
      <c r="F269" s="330" t="s">
        <v>439</v>
      </c>
      <c r="G269" s="329">
        <v>12233.204046679399</v>
      </c>
      <c r="H269" s="327">
        <v>7628.5483444800002</v>
      </c>
    </row>
    <row r="270" spans="2:8" x14ac:dyDescent="0.25">
      <c r="B270" s="331" t="s">
        <v>740</v>
      </c>
      <c r="C270" s="332">
        <v>30</v>
      </c>
      <c r="D270" s="333">
        <v>91148.691957359901</v>
      </c>
      <c r="E270" s="334"/>
      <c r="F270" s="331" t="s">
        <v>435</v>
      </c>
      <c r="G270" s="335">
        <v>116918.1460040393</v>
      </c>
      <c r="H270" s="333">
        <v>80596.548344480005</v>
      </c>
    </row>
    <row r="271" spans="2:8" x14ac:dyDescent="0.25">
      <c r="B271" s="320" t="s">
        <v>286</v>
      </c>
      <c r="C271" s="321"/>
      <c r="D271" s="322"/>
      <c r="E271" s="323"/>
      <c r="F271" s="320" t="s">
        <v>286</v>
      </c>
      <c r="G271" s="324"/>
      <c r="H271" s="322"/>
    </row>
    <row r="272" spans="2:8" x14ac:dyDescent="0.25">
      <c r="B272" s="325" t="s">
        <v>46</v>
      </c>
      <c r="C272" s="326">
        <v>24</v>
      </c>
      <c r="D272" s="327">
        <v>61485</v>
      </c>
      <c r="E272" s="328"/>
      <c r="F272" s="325" t="s">
        <v>437</v>
      </c>
      <c r="G272" s="329">
        <v>56617.5</v>
      </c>
      <c r="H272" s="327">
        <v>40938</v>
      </c>
    </row>
    <row r="273" spans="2:8" x14ac:dyDescent="0.25">
      <c r="B273" s="325" t="s">
        <v>18</v>
      </c>
      <c r="C273" s="326">
        <v>0</v>
      </c>
      <c r="D273" s="327" t="s">
        <v>684</v>
      </c>
      <c r="E273" s="328"/>
      <c r="F273" s="325" t="s">
        <v>438</v>
      </c>
      <c r="G273" s="329">
        <v>12740</v>
      </c>
      <c r="H273" s="327">
        <v>12740</v>
      </c>
    </row>
    <row r="274" spans="2:8" x14ac:dyDescent="0.25">
      <c r="B274" s="330" t="s">
        <v>244</v>
      </c>
      <c r="C274" s="326">
        <v>4</v>
      </c>
      <c r="D274" s="327" t="s">
        <v>684</v>
      </c>
      <c r="E274" s="328"/>
      <c r="F274" s="330" t="s">
        <v>439</v>
      </c>
      <c r="G274" s="329">
        <v>7635.7680306000002</v>
      </c>
      <c r="H274" s="327">
        <v>5185.2545680800004</v>
      </c>
    </row>
    <row r="275" spans="2:8" x14ac:dyDescent="0.25">
      <c r="B275" s="331" t="s">
        <v>740</v>
      </c>
      <c r="C275" s="332">
        <v>28</v>
      </c>
      <c r="D275" s="333">
        <v>56617.5</v>
      </c>
      <c r="E275" s="334"/>
      <c r="F275" s="331" t="s">
        <v>435</v>
      </c>
      <c r="G275" s="335">
        <v>76993.268030599997</v>
      </c>
      <c r="H275" s="333">
        <v>58863.254568080003</v>
      </c>
    </row>
    <row r="276" spans="2:8" x14ac:dyDescent="0.25">
      <c r="B276" s="320" t="s">
        <v>287</v>
      </c>
      <c r="C276" s="321"/>
      <c r="D276" s="322"/>
      <c r="E276" s="323"/>
      <c r="F276" s="320" t="s">
        <v>287</v>
      </c>
      <c r="G276" s="324"/>
      <c r="H276" s="322"/>
    </row>
    <row r="277" spans="2:8" x14ac:dyDescent="0.25">
      <c r="B277" s="325" t="s">
        <v>46</v>
      </c>
      <c r="C277" s="326">
        <v>10</v>
      </c>
      <c r="D277" s="327">
        <v>52968</v>
      </c>
      <c r="E277" s="328"/>
      <c r="F277" s="325" t="s">
        <v>437</v>
      </c>
      <c r="G277" s="329">
        <v>45434</v>
      </c>
      <c r="H277" s="327">
        <v>39030</v>
      </c>
    </row>
    <row r="278" spans="2:8" x14ac:dyDescent="0.25">
      <c r="B278" s="325" t="s">
        <v>18</v>
      </c>
      <c r="C278" s="326">
        <v>0</v>
      </c>
      <c r="D278" s="327" t="s">
        <v>684</v>
      </c>
      <c r="E278" s="328"/>
      <c r="F278" s="325" t="s">
        <v>438</v>
      </c>
      <c r="G278" s="329">
        <v>12740</v>
      </c>
      <c r="H278" s="327">
        <v>12740</v>
      </c>
    </row>
    <row r="279" spans="2:8" x14ac:dyDescent="0.25">
      <c r="B279" s="330" t="s">
        <v>244</v>
      </c>
      <c r="C279" s="326">
        <v>4</v>
      </c>
      <c r="D279" s="327" t="s">
        <v>684</v>
      </c>
      <c r="E279" s="328"/>
      <c r="F279" s="330" t="s">
        <v>439</v>
      </c>
      <c r="G279" s="329">
        <v>6134.7692840079762</v>
      </c>
      <c r="H279" s="327">
        <v>4943.5850748000003</v>
      </c>
    </row>
    <row r="280" spans="2:8" x14ac:dyDescent="0.25">
      <c r="B280" s="331" t="s">
        <v>740</v>
      </c>
      <c r="C280" s="332">
        <v>14</v>
      </c>
      <c r="D280" s="333">
        <v>45434</v>
      </c>
      <c r="E280" s="334"/>
      <c r="F280" s="331" t="s">
        <v>435</v>
      </c>
      <c r="G280" s="335">
        <v>64308.769284007976</v>
      </c>
      <c r="H280" s="333">
        <v>56713.585074800001</v>
      </c>
    </row>
    <row r="281" spans="2:8" x14ac:dyDescent="0.25">
      <c r="B281" s="320" t="s">
        <v>288</v>
      </c>
      <c r="C281" s="321"/>
      <c r="D281" s="322"/>
      <c r="E281" s="323"/>
      <c r="F281" s="320" t="s">
        <v>288</v>
      </c>
      <c r="G281" s="324"/>
      <c r="H281" s="322"/>
    </row>
    <row r="282" spans="2:8" x14ac:dyDescent="0.25">
      <c r="B282" s="325" t="s">
        <v>46</v>
      </c>
      <c r="C282" s="326">
        <v>14</v>
      </c>
      <c r="D282" s="327">
        <v>92580</v>
      </c>
      <c r="E282" s="328"/>
      <c r="F282" s="325" t="s">
        <v>437</v>
      </c>
      <c r="G282" s="329">
        <v>81261.051379912809</v>
      </c>
      <c r="H282" s="327">
        <v>49560</v>
      </c>
    </row>
    <row r="283" spans="2:8" x14ac:dyDescent="0.25">
      <c r="B283" s="325" t="s">
        <v>18</v>
      </c>
      <c r="C283" s="326">
        <v>14</v>
      </c>
      <c r="D283" s="327">
        <v>76843.154139738443</v>
      </c>
      <c r="E283" s="328"/>
      <c r="F283" s="325" t="s">
        <v>438</v>
      </c>
      <c r="G283" s="329">
        <v>12740</v>
      </c>
      <c r="H283" s="327">
        <v>12740</v>
      </c>
    </row>
    <row r="284" spans="2:8" x14ac:dyDescent="0.25">
      <c r="B284" s="330" t="s">
        <v>244</v>
      </c>
      <c r="C284" s="326">
        <v>2</v>
      </c>
      <c r="D284" s="327" t="s">
        <v>684</v>
      </c>
      <c r="E284" s="328"/>
      <c r="F284" s="330" t="s">
        <v>439</v>
      </c>
      <c r="G284" s="329">
        <v>10797.833859893719</v>
      </c>
      <c r="H284" s="327">
        <v>6277.3270896000004</v>
      </c>
    </row>
    <row r="285" spans="2:8" x14ac:dyDescent="0.25">
      <c r="B285" s="331" t="s">
        <v>740</v>
      </c>
      <c r="C285" s="332">
        <v>30</v>
      </c>
      <c r="D285" s="333">
        <v>81261.051379912809</v>
      </c>
      <c r="E285" s="334"/>
      <c r="F285" s="331" t="s">
        <v>435</v>
      </c>
      <c r="G285" s="335">
        <v>104798.88523980652</v>
      </c>
      <c r="H285" s="333">
        <v>68577.327089600003</v>
      </c>
    </row>
    <row r="286" spans="2:8" x14ac:dyDescent="0.25">
      <c r="B286" s="320" t="s">
        <v>289</v>
      </c>
      <c r="C286" s="321"/>
      <c r="D286" s="322"/>
      <c r="E286" s="323"/>
      <c r="F286" s="320" t="s">
        <v>289</v>
      </c>
      <c r="G286" s="324"/>
      <c r="H286" s="322"/>
    </row>
    <row r="287" spans="2:8" x14ac:dyDescent="0.25">
      <c r="B287" s="325" t="s">
        <v>46</v>
      </c>
      <c r="C287" s="326">
        <v>2</v>
      </c>
      <c r="D287" s="327" t="s">
        <v>684</v>
      </c>
      <c r="E287" s="328"/>
      <c r="F287" s="325" t="s">
        <v>437</v>
      </c>
      <c r="G287" s="329">
        <v>86279.11305145669</v>
      </c>
      <c r="H287" s="327">
        <v>57306</v>
      </c>
    </row>
    <row r="288" spans="2:8" x14ac:dyDescent="0.25">
      <c r="B288" s="325" t="s">
        <v>18</v>
      </c>
      <c r="C288" s="326">
        <v>8</v>
      </c>
      <c r="D288" s="327">
        <v>80242.786654370066</v>
      </c>
      <c r="E288" s="328"/>
      <c r="F288" s="325" t="s">
        <v>438</v>
      </c>
      <c r="G288" s="329">
        <v>12740</v>
      </c>
      <c r="H288" s="327">
        <v>12740</v>
      </c>
    </row>
    <row r="289" spans="2:8" x14ac:dyDescent="0.25">
      <c r="B289" s="330" t="s">
        <v>244</v>
      </c>
      <c r="C289" s="326">
        <v>2</v>
      </c>
      <c r="D289" s="327" t="s">
        <v>684</v>
      </c>
      <c r="E289" s="328"/>
      <c r="F289" s="330" t="s">
        <v>439</v>
      </c>
      <c r="G289" s="329">
        <v>10351.267563295081</v>
      </c>
      <c r="H289" s="327">
        <v>7258.4444349600008</v>
      </c>
    </row>
    <row r="290" spans="2:8" x14ac:dyDescent="0.25">
      <c r="B290" s="331" t="s">
        <v>740</v>
      </c>
      <c r="C290" s="332">
        <v>12</v>
      </c>
      <c r="D290" s="333">
        <v>86279.11305145669</v>
      </c>
      <c r="E290" s="334"/>
      <c r="F290" s="331" t="s">
        <v>435</v>
      </c>
      <c r="G290" s="335">
        <v>109370.38061475178</v>
      </c>
      <c r="H290" s="333">
        <v>77304.444434959994</v>
      </c>
    </row>
    <row r="291" spans="2:8" x14ac:dyDescent="0.25">
      <c r="B291" s="320" t="s">
        <v>403</v>
      </c>
      <c r="C291" s="321"/>
      <c r="D291" s="322"/>
      <c r="E291" s="323"/>
      <c r="F291" s="320" t="s">
        <v>403</v>
      </c>
      <c r="G291" s="324"/>
      <c r="H291" s="322"/>
    </row>
    <row r="292" spans="2:8" x14ac:dyDescent="0.25">
      <c r="B292" s="325" t="s">
        <v>46</v>
      </c>
      <c r="C292" s="326">
        <v>9</v>
      </c>
      <c r="D292" s="327">
        <v>102042</v>
      </c>
      <c r="E292" s="328"/>
      <c r="F292" s="325" t="s">
        <v>437</v>
      </c>
      <c r="G292" s="329">
        <v>97492.429824561405</v>
      </c>
      <c r="H292" s="327">
        <v>89364</v>
      </c>
    </row>
    <row r="293" spans="2:8" x14ac:dyDescent="0.25">
      <c r="B293" s="325" t="s">
        <v>18</v>
      </c>
      <c r="C293" s="326">
        <v>13</v>
      </c>
      <c r="D293" s="327">
        <v>92942.859649122824</v>
      </c>
      <c r="E293" s="328"/>
      <c r="F293" s="325" t="s">
        <v>438</v>
      </c>
      <c r="G293" s="329">
        <v>13536.25</v>
      </c>
      <c r="H293" s="327">
        <v>12740</v>
      </c>
    </row>
    <row r="294" spans="2:8" x14ac:dyDescent="0.25">
      <c r="B294" s="330" t="s">
        <v>244</v>
      </c>
      <c r="C294" s="326">
        <v>0</v>
      </c>
      <c r="D294" s="327" t="s">
        <v>684</v>
      </c>
      <c r="E294" s="328"/>
      <c r="F294" s="330" t="s">
        <v>439</v>
      </c>
      <c r="G294" s="329">
        <v>12888.6973398151</v>
      </c>
      <c r="H294" s="327">
        <v>11318.947902240001</v>
      </c>
    </row>
    <row r="295" spans="2:8" x14ac:dyDescent="0.25">
      <c r="B295" s="331" t="s">
        <v>740</v>
      </c>
      <c r="C295" s="332">
        <v>22</v>
      </c>
      <c r="D295" s="333">
        <v>97492.429824561405</v>
      </c>
      <c r="E295" s="334"/>
      <c r="F295" s="331" t="s">
        <v>435</v>
      </c>
      <c r="G295" s="335">
        <v>123917.37716437651</v>
      </c>
      <c r="H295" s="333">
        <v>113422.94790224</v>
      </c>
    </row>
    <row r="296" spans="2:8" x14ac:dyDescent="0.25">
      <c r="B296" s="320" t="s">
        <v>404</v>
      </c>
      <c r="C296" s="321"/>
      <c r="D296" s="322"/>
      <c r="E296" s="323"/>
      <c r="F296" s="320" t="s">
        <v>404</v>
      </c>
      <c r="G296" s="324"/>
      <c r="H296" s="322"/>
    </row>
    <row r="297" spans="2:8" x14ac:dyDescent="0.25">
      <c r="B297" s="325" t="s">
        <v>46</v>
      </c>
      <c r="C297" s="326">
        <v>1</v>
      </c>
      <c r="D297" s="327" t="s">
        <v>684</v>
      </c>
      <c r="E297" s="328"/>
      <c r="F297" s="325" t="s">
        <v>437</v>
      </c>
      <c r="G297" s="329">
        <v>69132.510732984301</v>
      </c>
      <c r="H297" s="327">
        <v>58734</v>
      </c>
    </row>
    <row r="298" spans="2:8" x14ac:dyDescent="0.25">
      <c r="B298" s="325" t="s">
        <v>18</v>
      </c>
      <c r="C298" s="326">
        <v>11</v>
      </c>
      <c r="D298" s="327">
        <v>69084.2214659686</v>
      </c>
      <c r="E298" s="328"/>
      <c r="F298" s="325" t="s">
        <v>438</v>
      </c>
      <c r="G298" s="329">
        <v>12740</v>
      </c>
      <c r="H298" s="327">
        <v>12740</v>
      </c>
    </row>
    <row r="299" spans="2:8" x14ac:dyDescent="0.25">
      <c r="B299" s="330" t="s">
        <v>244</v>
      </c>
      <c r="C299" s="326">
        <v>0</v>
      </c>
      <c r="D299" s="327" t="s">
        <v>684</v>
      </c>
      <c r="E299" s="328"/>
      <c r="F299" s="330" t="s">
        <v>439</v>
      </c>
      <c r="G299" s="329">
        <v>9084.5418646026937</v>
      </c>
      <c r="H299" s="327">
        <v>7439.3165714400011</v>
      </c>
    </row>
    <row r="300" spans="2:8" x14ac:dyDescent="0.25">
      <c r="B300" s="331" t="s">
        <v>740</v>
      </c>
      <c r="C300" s="332">
        <v>12</v>
      </c>
      <c r="D300" s="333">
        <v>69132.510732984301</v>
      </c>
      <c r="E300" s="334"/>
      <c r="F300" s="331" t="s">
        <v>435</v>
      </c>
      <c r="G300" s="335">
        <v>90957.052597586997</v>
      </c>
      <c r="H300" s="333">
        <v>78913.316571439995</v>
      </c>
    </row>
    <row r="301" spans="2:8" x14ac:dyDescent="0.25">
      <c r="B301" s="320" t="s">
        <v>290</v>
      </c>
      <c r="C301" s="321"/>
      <c r="D301" s="322"/>
      <c r="E301" s="323"/>
      <c r="F301" s="320" t="s">
        <v>290</v>
      </c>
      <c r="G301" s="324"/>
      <c r="H301" s="322"/>
    </row>
    <row r="302" spans="2:8" x14ac:dyDescent="0.25">
      <c r="B302" s="325" t="s">
        <v>46</v>
      </c>
      <c r="C302" s="326">
        <v>4</v>
      </c>
      <c r="D302" s="327" t="s">
        <v>684</v>
      </c>
      <c r="E302" s="328"/>
      <c r="F302" s="325" t="s">
        <v>437</v>
      </c>
      <c r="G302" s="329">
        <v>58449.352378057803</v>
      </c>
      <c r="H302" s="327">
        <v>47238</v>
      </c>
    </row>
    <row r="303" spans="2:8" x14ac:dyDescent="0.25">
      <c r="B303" s="325" t="s">
        <v>18</v>
      </c>
      <c r="C303" s="326">
        <v>10</v>
      </c>
      <c r="D303" s="327">
        <v>66645.677134173398</v>
      </c>
      <c r="E303" s="328"/>
      <c r="F303" s="325" t="s">
        <v>438</v>
      </c>
      <c r="G303" s="329">
        <v>12740</v>
      </c>
      <c r="H303" s="327">
        <v>12740</v>
      </c>
    </row>
    <row r="304" spans="2:8" x14ac:dyDescent="0.25">
      <c r="B304" s="330" t="s">
        <v>244</v>
      </c>
      <c r="C304" s="326">
        <v>2</v>
      </c>
      <c r="D304" s="327" t="s">
        <v>684</v>
      </c>
      <c r="E304" s="328"/>
      <c r="F304" s="330" t="s">
        <v>439</v>
      </c>
      <c r="G304" s="329">
        <v>8490.9866643716668</v>
      </c>
      <c r="H304" s="327">
        <v>5983.2198760800002</v>
      </c>
    </row>
    <row r="305" spans="2:8" x14ac:dyDescent="0.25">
      <c r="B305" s="331" t="s">
        <v>740</v>
      </c>
      <c r="C305" s="332">
        <v>16</v>
      </c>
      <c r="D305" s="333">
        <v>58449.352378057803</v>
      </c>
      <c r="E305" s="334"/>
      <c r="F305" s="331" t="s">
        <v>435</v>
      </c>
      <c r="G305" s="335">
        <v>79680.339042429478</v>
      </c>
      <c r="H305" s="333">
        <v>65961.219876079995</v>
      </c>
    </row>
    <row r="306" spans="2:8" x14ac:dyDescent="0.25">
      <c r="B306" s="320" t="s">
        <v>291</v>
      </c>
      <c r="C306" s="321"/>
      <c r="D306" s="322"/>
      <c r="E306" s="323"/>
      <c r="F306" s="320" t="s">
        <v>291</v>
      </c>
      <c r="G306" s="324"/>
      <c r="H306" s="322"/>
    </row>
    <row r="307" spans="2:8" x14ac:dyDescent="0.25">
      <c r="B307" s="325" t="s">
        <v>46</v>
      </c>
      <c r="C307" s="326">
        <v>5</v>
      </c>
      <c r="D307" s="327">
        <v>61806</v>
      </c>
      <c r="E307" s="328"/>
      <c r="F307" s="325" t="s">
        <v>437</v>
      </c>
      <c r="G307" s="329">
        <v>62625.349583341187</v>
      </c>
      <c r="H307" s="327">
        <v>60228</v>
      </c>
    </row>
    <row r="308" spans="2:8" x14ac:dyDescent="0.25">
      <c r="B308" s="325" t="s">
        <v>18</v>
      </c>
      <c r="C308" s="326">
        <v>8</v>
      </c>
      <c r="D308" s="327">
        <v>72466.048750023561</v>
      </c>
      <c r="E308" s="328"/>
      <c r="F308" s="325" t="s">
        <v>438</v>
      </c>
      <c r="G308" s="329">
        <v>12740</v>
      </c>
      <c r="H308" s="327">
        <v>12740</v>
      </c>
    </row>
    <row r="309" spans="2:8" x14ac:dyDescent="0.25">
      <c r="B309" s="330" t="s">
        <v>244</v>
      </c>
      <c r="C309" s="326">
        <v>4</v>
      </c>
      <c r="D309" s="327" t="s">
        <v>684</v>
      </c>
      <c r="E309" s="328"/>
      <c r="F309" s="330" t="s">
        <v>439</v>
      </c>
      <c r="G309" s="329">
        <v>7519.496148922216</v>
      </c>
      <c r="H309" s="327">
        <v>7628.5483444800002</v>
      </c>
    </row>
    <row r="310" spans="2:8" x14ac:dyDescent="0.25">
      <c r="B310" s="331" t="s">
        <v>740</v>
      </c>
      <c r="C310" s="332">
        <v>17</v>
      </c>
      <c r="D310" s="333">
        <v>62625.349583341187</v>
      </c>
      <c r="E310" s="334"/>
      <c r="F310" s="331" t="s">
        <v>435</v>
      </c>
      <c r="G310" s="335">
        <v>82884.845732263406</v>
      </c>
      <c r="H310" s="333">
        <v>80596.548344480005</v>
      </c>
    </row>
    <row r="311" spans="2:8" x14ac:dyDescent="0.25">
      <c r="B311" s="320" t="s">
        <v>405</v>
      </c>
      <c r="C311" s="321"/>
      <c r="D311" s="322"/>
      <c r="E311" s="323"/>
      <c r="F311" s="320" t="s">
        <v>405</v>
      </c>
      <c r="G311" s="324"/>
      <c r="H311" s="322"/>
    </row>
    <row r="312" spans="2:8" x14ac:dyDescent="0.25">
      <c r="B312" s="325" t="s">
        <v>46</v>
      </c>
      <c r="C312" s="326">
        <v>0</v>
      </c>
      <c r="D312" s="327" t="s">
        <v>684</v>
      </c>
      <c r="E312" s="328"/>
      <c r="F312" s="325" t="s">
        <v>437</v>
      </c>
      <c r="G312" s="329">
        <v>73368.800889877632</v>
      </c>
      <c r="H312" s="327">
        <v>63258</v>
      </c>
    </row>
    <row r="313" spans="2:8" x14ac:dyDescent="0.25">
      <c r="B313" s="325" t="s">
        <v>18</v>
      </c>
      <c r="C313" s="326">
        <v>13</v>
      </c>
      <c r="D313" s="327">
        <v>73368.800889877632</v>
      </c>
      <c r="E313" s="328"/>
      <c r="F313" s="325" t="s">
        <v>438</v>
      </c>
      <c r="G313" s="329">
        <v>12740</v>
      </c>
      <c r="H313" s="327">
        <v>12740</v>
      </c>
    </row>
    <row r="314" spans="2:8" x14ac:dyDescent="0.25">
      <c r="B314" s="330" t="s">
        <v>244</v>
      </c>
      <c r="C314" s="326">
        <v>0</v>
      </c>
      <c r="D314" s="327" t="s">
        <v>684</v>
      </c>
      <c r="E314" s="328"/>
      <c r="F314" s="330" t="s">
        <v>439</v>
      </c>
      <c r="G314" s="329">
        <v>9821.6601626931224</v>
      </c>
      <c r="H314" s="327">
        <v>8012.3316592800011</v>
      </c>
    </row>
    <row r="315" spans="2:8" x14ac:dyDescent="0.25">
      <c r="B315" s="331" t="s">
        <v>740</v>
      </c>
      <c r="C315" s="332">
        <v>13</v>
      </c>
      <c r="D315" s="333">
        <v>73368.800889877632</v>
      </c>
      <c r="E315" s="334"/>
      <c r="F315" s="331" t="s">
        <v>435</v>
      </c>
      <c r="G315" s="335">
        <v>95930.461052570754</v>
      </c>
      <c r="H315" s="333">
        <v>84010.331659279997</v>
      </c>
    </row>
    <row r="316" spans="2:8" x14ac:dyDescent="0.25">
      <c r="B316" s="314" t="s">
        <v>6</v>
      </c>
      <c r="C316" s="315"/>
      <c r="D316" s="316"/>
      <c r="E316" s="313"/>
      <c r="F316" s="314" t="s">
        <v>6</v>
      </c>
      <c r="G316" s="315"/>
      <c r="H316" s="316"/>
    </row>
    <row r="317" spans="2:8" ht="30" x14ac:dyDescent="0.25">
      <c r="B317" s="317" t="s">
        <v>47</v>
      </c>
      <c r="C317" s="318" t="s">
        <v>432</v>
      </c>
      <c r="D317" s="319" t="s">
        <v>436</v>
      </c>
      <c r="E317" s="313"/>
      <c r="F317" s="317" t="s">
        <v>47</v>
      </c>
      <c r="G317" s="318" t="s">
        <v>740</v>
      </c>
      <c r="H317" s="319" t="s">
        <v>48</v>
      </c>
    </row>
    <row r="318" spans="2:8" x14ac:dyDescent="0.25">
      <c r="B318" s="320" t="s">
        <v>292</v>
      </c>
      <c r="C318" s="321"/>
      <c r="D318" s="322"/>
      <c r="E318" s="323"/>
      <c r="F318" s="320" t="s">
        <v>292</v>
      </c>
      <c r="G318" s="324"/>
      <c r="H318" s="322"/>
    </row>
    <row r="319" spans="2:8" x14ac:dyDescent="0.25">
      <c r="B319" s="325" t="s">
        <v>46</v>
      </c>
      <c r="C319" s="326">
        <v>1</v>
      </c>
      <c r="D319" s="327" t="s">
        <v>684</v>
      </c>
      <c r="E319" s="328"/>
      <c r="F319" s="325" t="s">
        <v>437</v>
      </c>
      <c r="G319" s="329">
        <v>72179.498350877198</v>
      </c>
      <c r="H319" s="327">
        <v>63258</v>
      </c>
    </row>
    <row r="320" spans="2:8" x14ac:dyDescent="0.25">
      <c r="B320" s="325" t="s">
        <v>18</v>
      </c>
      <c r="C320" s="326">
        <v>11</v>
      </c>
      <c r="D320" s="327">
        <v>66777.671052631587</v>
      </c>
      <c r="E320" s="328"/>
      <c r="F320" s="325" t="s">
        <v>438</v>
      </c>
      <c r="G320" s="329">
        <v>12740</v>
      </c>
      <c r="H320" s="327">
        <v>12740</v>
      </c>
    </row>
    <row r="321" spans="2:8" x14ac:dyDescent="0.25">
      <c r="B321" s="330" t="s">
        <v>244</v>
      </c>
      <c r="C321" s="326">
        <v>5</v>
      </c>
      <c r="D321" s="327">
        <v>76500</v>
      </c>
      <c r="E321" s="328"/>
      <c r="F321" s="330" t="s">
        <v>439</v>
      </c>
      <c r="G321" s="329">
        <v>8259.6823772250809</v>
      </c>
      <c r="H321" s="327">
        <v>8012.3316592800011</v>
      </c>
    </row>
    <row r="322" spans="2:8" x14ac:dyDescent="0.25">
      <c r="B322" s="331" t="s">
        <v>740</v>
      </c>
      <c r="C322" s="332">
        <v>17</v>
      </c>
      <c r="D322" s="333">
        <v>72179.498350877198</v>
      </c>
      <c r="E322" s="334"/>
      <c r="F322" s="331" t="s">
        <v>435</v>
      </c>
      <c r="G322" s="335">
        <v>93179.180728102277</v>
      </c>
      <c r="H322" s="333">
        <v>84010.331659279997</v>
      </c>
    </row>
    <row r="323" spans="2:8" x14ac:dyDescent="0.25">
      <c r="B323" s="320" t="s">
        <v>293</v>
      </c>
      <c r="C323" s="321"/>
      <c r="D323" s="322"/>
      <c r="E323" s="323"/>
      <c r="F323" s="320" t="s">
        <v>293</v>
      </c>
      <c r="G323" s="324"/>
      <c r="H323" s="322"/>
    </row>
    <row r="324" spans="2:8" x14ac:dyDescent="0.25">
      <c r="B324" s="325" t="s">
        <v>46</v>
      </c>
      <c r="C324" s="326">
        <v>0</v>
      </c>
      <c r="D324" s="327" t="s">
        <v>684</v>
      </c>
      <c r="E324" s="328"/>
      <c r="F324" s="325" t="s">
        <v>437</v>
      </c>
      <c r="G324" s="329">
        <v>61509.686685936489</v>
      </c>
      <c r="H324" s="327">
        <v>60228</v>
      </c>
    </row>
    <row r="325" spans="2:8" x14ac:dyDescent="0.25">
      <c r="B325" s="325" t="s">
        <v>18</v>
      </c>
      <c r="C325" s="326">
        <v>11</v>
      </c>
      <c r="D325" s="327">
        <v>61220.692982456152</v>
      </c>
      <c r="E325" s="328"/>
      <c r="F325" s="325" t="s">
        <v>438</v>
      </c>
      <c r="G325" s="329">
        <v>12740</v>
      </c>
      <c r="H325" s="327">
        <v>12740</v>
      </c>
    </row>
    <row r="326" spans="2:8" x14ac:dyDescent="0.25">
      <c r="B326" s="330" t="s">
        <v>244</v>
      </c>
      <c r="C326" s="326">
        <v>4</v>
      </c>
      <c r="D326" s="327" t="s">
        <v>684</v>
      </c>
      <c r="E326" s="328"/>
      <c r="F326" s="330" t="s">
        <v>439</v>
      </c>
      <c r="G326" s="329">
        <v>7420.8410995171407</v>
      </c>
      <c r="H326" s="327">
        <v>7628.5483444800002</v>
      </c>
    </row>
    <row r="327" spans="2:8" x14ac:dyDescent="0.25">
      <c r="B327" s="331" t="s">
        <v>740</v>
      </c>
      <c r="C327" s="332">
        <v>15</v>
      </c>
      <c r="D327" s="333">
        <v>61509.686685936489</v>
      </c>
      <c r="E327" s="334"/>
      <c r="F327" s="331" t="s">
        <v>435</v>
      </c>
      <c r="G327" s="335">
        <v>81670.52778545364</v>
      </c>
      <c r="H327" s="333">
        <v>80596.548344480005</v>
      </c>
    </row>
    <row r="328" spans="2:8" x14ac:dyDescent="0.25">
      <c r="B328" s="320" t="s">
        <v>294</v>
      </c>
      <c r="C328" s="321"/>
      <c r="D328" s="322"/>
      <c r="E328" s="323"/>
      <c r="F328" s="320" t="s">
        <v>294</v>
      </c>
      <c r="G328" s="324"/>
      <c r="H328" s="322"/>
    </row>
    <row r="329" spans="2:8" x14ac:dyDescent="0.25">
      <c r="B329" s="325" t="s">
        <v>46</v>
      </c>
      <c r="C329" s="326">
        <v>2</v>
      </c>
      <c r="D329" s="327" t="s">
        <v>684</v>
      </c>
      <c r="E329" s="328"/>
      <c r="F329" s="325" t="s">
        <v>437</v>
      </c>
      <c r="G329" s="329">
        <v>78589.018245514133</v>
      </c>
      <c r="H329" s="327">
        <v>69864</v>
      </c>
    </row>
    <row r="330" spans="2:8" x14ac:dyDescent="0.25">
      <c r="B330" s="325" t="s">
        <v>18</v>
      </c>
      <c r="C330" s="326">
        <v>8</v>
      </c>
      <c r="D330" s="327">
        <v>80639.262966230541</v>
      </c>
      <c r="E330" s="328"/>
      <c r="F330" s="325" t="s">
        <v>438</v>
      </c>
      <c r="G330" s="329">
        <v>12740</v>
      </c>
      <c r="H330" s="327">
        <v>12740</v>
      </c>
    </row>
    <row r="331" spans="2:8" x14ac:dyDescent="0.25">
      <c r="B331" s="330" t="s">
        <v>244</v>
      </c>
      <c r="C331" s="326">
        <v>4</v>
      </c>
      <c r="D331" s="327" t="s">
        <v>684</v>
      </c>
      <c r="E331" s="328"/>
      <c r="F331" s="330" t="s">
        <v>439</v>
      </c>
      <c r="G331" s="329">
        <v>9678.9266720173273</v>
      </c>
      <c r="H331" s="327">
        <v>8849.0552822400005</v>
      </c>
    </row>
    <row r="332" spans="2:8" x14ac:dyDescent="0.25">
      <c r="B332" s="331" t="s">
        <v>740</v>
      </c>
      <c r="C332" s="332">
        <v>14</v>
      </c>
      <c r="D332" s="333">
        <v>78589.018245514133</v>
      </c>
      <c r="E332" s="334"/>
      <c r="F332" s="331" t="s">
        <v>435</v>
      </c>
      <c r="G332" s="335">
        <v>101007.94491753147</v>
      </c>
      <c r="H332" s="333">
        <v>91453.055282240006</v>
      </c>
    </row>
    <row r="333" spans="2:8" x14ac:dyDescent="0.25">
      <c r="B333" s="320" t="s">
        <v>295</v>
      </c>
      <c r="C333" s="321"/>
      <c r="D333" s="322"/>
      <c r="E333" s="323"/>
      <c r="F333" s="320" t="s">
        <v>295</v>
      </c>
      <c r="G333" s="324"/>
      <c r="H333" s="322"/>
    </row>
    <row r="334" spans="2:8" x14ac:dyDescent="0.25">
      <c r="B334" s="325" t="s">
        <v>46</v>
      </c>
      <c r="C334" s="326">
        <v>1</v>
      </c>
      <c r="D334" s="327" t="s">
        <v>684</v>
      </c>
      <c r="E334" s="328"/>
      <c r="F334" s="325" t="s">
        <v>437</v>
      </c>
      <c r="G334" s="329">
        <v>85430.317023637181</v>
      </c>
      <c r="H334" s="327">
        <v>58734</v>
      </c>
    </row>
    <row r="335" spans="2:8" x14ac:dyDescent="0.25">
      <c r="B335" s="325" t="s">
        <v>18</v>
      </c>
      <c r="C335" s="326">
        <v>5</v>
      </c>
      <c r="D335" s="327">
        <v>88513.497087378651</v>
      </c>
      <c r="E335" s="328"/>
      <c r="F335" s="325" t="s">
        <v>438</v>
      </c>
      <c r="G335" s="329">
        <v>12740</v>
      </c>
      <c r="H335" s="327">
        <v>12740</v>
      </c>
    </row>
    <row r="336" spans="2:8" x14ac:dyDescent="0.25">
      <c r="B336" s="330" t="s">
        <v>244</v>
      </c>
      <c r="C336" s="326">
        <v>4</v>
      </c>
      <c r="D336" s="327" t="s">
        <v>684</v>
      </c>
      <c r="E336" s="328"/>
      <c r="F336" s="330" t="s">
        <v>439</v>
      </c>
      <c r="G336" s="329">
        <v>8188.4611794227512</v>
      </c>
      <c r="H336" s="327">
        <v>7439.3165714400011</v>
      </c>
    </row>
    <row r="337" spans="2:8" x14ac:dyDescent="0.25">
      <c r="B337" s="331" t="s">
        <v>740</v>
      </c>
      <c r="C337" s="332">
        <v>10</v>
      </c>
      <c r="D337" s="333">
        <v>85430.317023637181</v>
      </c>
      <c r="E337" s="334"/>
      <c r="F337" s="331" t="s">
        <v>435</v>
      </c>
      <c r="G337" s="335">
        <v>106358.77820305993</v>
      </c>
      <c r="H337" s="333">
        <v>78913.316571439995</v>
      </c>
    </row>
    <row r="338" spans="2:8" x14ac:dyDescent="0.25">
      <c r="B338" s="320" t="s">
        <v>406</v>
      </c>
      <c r="C338" s="321"/>
      <c r="D338" s="322"/>
      <c r="E338" s="323"/>
      <c r="F338" s="320" t="s">
        <v>406</v>
      </c>
      <c r="G338" s="324"/>
      <c r="H338" s="322"/>
    </row>
    <row r="339" spans="2:8" x14ac:dyDescent="0.25">
      <c r="B339" s="325" t="s">
        <v>46</v>
      </c>
      <c r="C339" s="326">
        <v>1</v>
      </c>
      <c r="D339" s="327" t="s">
        <v>684</v>
      </c>
      <c r="E339" s="328"/>
      <c r="F339" s="325" t="s">
        <v>437</v>
      </c>
      <c r="G339" s="329">
        <v>81976.011705926649</v>
      </c>
      <c r="H339" s="327">
        <v>68112</v>
      </c>
    </row>
    <row r="340" spans="2:8" x14ac:dyDescent="0.25">
      <c r="B340" s="325" t="s">
        <v>18</v>
      </c>
      <c r="C340" s="326">
        <v>8</v>
      </c>
      <c r="D340" s="327">
        <v>79930.019117779942</v>
      </c>
      <c r="E340" s="328"/>
      <c r="F340" s="325" t="s">
        <v>438</v>
      </c>
      <c r="G340" s="329">
        <v>12740</v>
      </c>
      <c r="H340" s="327">
        <v>12740</v>
      </c>
    </row>
    <row r="341" spans="2:8" x14ac:dyDescent="0.25">
      <c r="B341" s="330" t="s">
        <v>244</v>
      </c>
      <c r="C341" s="326">
        <v>3</v>
      </c>
      <c r="D341" s="327" t="s">
        <v>684</v>
      </c>
      <c r="E341" s="328"/>
      <c r="F341" s="330" t="s">
        <v>439</v>
      </c>
      <c r="G341" s="329">
        <v>9691.8124039357099</v>
      </c>
      <c r="H341" s="327">
        <v>8627.1449299200012</v>
      </c>
    </row>
    <row r="342" spans="2:8" x14ac:dyDescent="0.25">
      <c r="B342" s="331" t="s">
        <v>740</v>
      </c>
      <c r="C342" s="332">
        <v>12</v>
      </c>
      <c r="D342" s="333">
        <v>81976.011705926649</v>
      </c>
      <c r="E342" s="334"/>
      <c r="F342" s="331" t="s">
        <v>435</v>
      </c>
      <c r="G342" s="335">
        <v>104407.82410986235</v>
      </c>
      <c r="H342" s="333">
        <v>89479.144929920003</v>
      </c>
    </row>
    <row r="343" spans="2:8" x14ac:dyDescent="0.25">
      <c r="B343" s="320" t="s">
        <v>296</v>
      </c>
      <c r="C343" s="321"/>
      <c r="D343" s="322"/>
      <c r="E343" s="323"/>
      <c r="F343" s="320" t="s">
        <v>296</v>
      </c>
      <c r="G343" s="324"/>
      <c r="H343" s="322"/>
    </row>
    <row r="344" spans="2:8" x14ac:dyDescent="0.25">
      <c r="B344" s="325" t="s">
        <v>46</v>
      </c>
      <c r="C344" s="326">
        <v>0</v>
      </c>
      <c r="D344" s="327" t="s">
        <v>684</v>
      </c>
      <c r="E344" s="328"/>
      <c r="F344" s="325" t="s">
        <v>437</v>
      </c>
      <c r="G344" s="329">
        <v>57736.835452668893</v>
      </c>
      <c r="H344" s="327">
        <v>55890</v>
      </c>
    </row>
    <row r="345" spans="2:8" x14ac:dyDescent="0.25">
      <c r="B345" s="325" t="s">
        <v>18</v>
      </c>
      <c r="C345" s="326">
        <v>7</v>
      </c>
      <c r="D345" s="327">
        <v>63575.301964839709</v>
      </c>
      <c r="E345" s="328"/>
      <c r="F345" s="325" t="s">
        <v>438</v>
      </c>
      <c r="G345" s="329">
        <v>12740</v>
      </c>
      <c r="H345" s="327">
        <v>12740</v>
      </c>
    </row>
    <row r="346" spans="2:8" x14ac:dyDescent="0.25">
      <c r="B346" s="330" t="s">
        <v>244</v>
      </c>
      <c r="C346" s="326">
        <v>3</v>
      </c>
      <c r="D346" s="327" t="s">
        <v>684</v>
      </c>
      <c r="E346" s="328"/>
      <c r="F346" s="330" t="s">
        <v>439</v>
      </c>
      <c r="G346" s="329">
        <v>7693.2311646415565</v>
      </c>
      <c r="H346" s="327">
        <v>7079.0922324000003</v>
      </c>
    </row>
    <row r="347" spans="2:8" x14ac:dyDescent="0.25">
      <c r="B347" s="331" t="s">
        <v>740</v>
      </c>
      <c r="C347" s="332">
        <v>10</v>
      </c>
      <c r="D347" s="333">
        <v>57736.835452668893</v>
      </c>
      <c r="E347" s="334"/>
      <c r="F347" s="331" t="s">
        <v>435</v>
      </c>
      <c r="G347" s="335">
        <v>78170.066617310455</v>
      </c>
      <c r="H347" s="333">
        <v>75709.092232399998</v>
      </c>
    </row>
    <row r="348" spans="2:8" x14ac:dyDescent="0.25">
      <c r="B348" s="320" t="s">
        <v>297</v>
      </c>
      <c r="C348" s="321"/>
      <c r="D348" s="322"/>
      <c r="E348" s="323"/>
      <c r="F348" s="320" t="s">
        <v>297</v>
      </c>
      <c r="G348" s="324"/>
      <c r="H348" s="322"/>
    </row>
    <row r="349" spans="2:8" x14ac:dyDescent="0.25">
      <c r="B349" s="325" t="s">
        <v>46</v>
      </c>
      <c r="C349" s="326">
        <v>0</v>
      </c>
      <c r="D349" s="327" t="s">
        <v>684</v>
      </c>
      <c r="E349" s="328"/>
      <c r="F349" s="325" t="s">
        <v>437</v>
      </c>
      <c r="G349" s="329">
        <v>104381.72941973359</v>
      </c>
      <c r="H349" s="327">
        <v>93912</v>
      </c>
    </row>
    <row r="350" spans="2:8" x14ac:dyDescent="0.25">
      <c r="B350" s="325" t="s">
        <v>18</v>
      </c>
      <c r="C350" s="326">
        <v>8</v>
      </c>
      <c r="D350" s="327">
        <v>94563.458839467174</v>
      </c>
      <c r="E350" s="328"/>
      <c r="F350" s="325" t="s">
        <v>438</v>
      </c>
      <c r="G350" s="329">
        <v>12740</v>
      </c>
      <c r="H350" s="327">
        <v>12740</v>
      </c>
    </row>
    <row r="351" spans="2:8" x14ac:dyDescent="0.25">
      <c r="B351" s="330" t="s">
        <v>244</v>
      </c>
      <c r="C351" s="326">
        <v>5</v>
      </c>
      <c r="D351" s="327">
        <v>114200</v>
      </c>
      <c r="E351" s="328"/>
      <c r="F351" s="330" t="s">
        <v>439</v>
      </c>
      <c r="G351" s="329">
        <v>11491.83378450688</v>
      </c>
      <c r="H351" s="327">
        <v>11895.002857920001</v>
      </c>
    </row>
    <row r="352" spans="2:8" x14ac:dyDescent="0.25">
      <c r="B352" s="331" t="s">
        <v>740</v>
      </c>
      <c r="C352" s="332">
        <v>13</v>
      </c>
      <c r="D352" s="333">
        <v>104381.72941973359</v>
      </c>
      <c r="E352" s="334"/>
      <c r="F352" s="331" t="s">
        <v>435</v>
      </c>
      <c r="G352" s="335">
        <v>128613.56320424046</v>
      </c>
      <c r="H352" s="333">
        <v>118547.00285792</v>
      </c>
    </row>
    <row r="353" spans="2:8" x14ac:dyDescent="0.25">
      <c r="B353" s="320" t="s">
        <v>298</v>
      </c>
      <c r="C353" s="321"/>
      <c r="D353" s="322"/>
      <c r="E353" s="323"/>
      <c r="F353" s="320" t="s">
        <v>298</v>
      </c>
      <c r="G353" s="324"/>
      <c r="H353" s="322"/>
    </row>
    <row r="354" spans="2:8" x14ac:dyDescent="0.25">
      <c r="B354" s="325" t="s">
        <v>46</v>
      </c>
      <c r="C354" s="326">
        <v>4</v>
      </c>
      <c r="D354" s="327" t="s">
        <v>684</v>
      </c>
      <c r="E354" s="328"/>
      <c r="F354" s="325" t="s">
        <v>437</v>
      </c>
      <c r="G354" s="329">
        <v>74224.63158510717</v>
      </c>
      <c r="H354" s="327">
        <v>69864</v>
      </c>
    </row>
    <row r="355" spans="2:8" x14ac:dyDescent="0.25">
      <c r="B355" s="325" t="s">
        <v>18</v>
      </c>
      <c r="C355" s="326">
        <v>12</v>
      </c>
      <c r="D355" s="327">
        <v>73847.198755321529</v>
      </c>
      <c r="E355" s="328"/>
      <c r="F355" s="325" t="s">
        <v>438</v>
      </c>
      <c r="G355" s="329">
        <v>12740</v>
      </c>
      <c r="H355" s="327">
        <v>12740</v>
      </c>
    </row>
    <row r="356" spans="2:8" x14ac:dyDescent="0.25">
      <c r="B356" s="330" t="s">
        <v>244</v>
      </c>
      <c r="C356" s="326">
        <v>4</v>
      </c>
      <c r="D356" s="327" t="s">
        <v>684</v>
      </c>
      <c r="E356" s="328"/>
      <c r="F356" s="330" t="s">
        <v>439</v>
      </c>
      <c r="G356" s="329">
        <v>9316.7210576499019</v>
      </c>
      <c r="H356" s="327">
        <v>8849.0552822400005</v>
      </c>
    </row>
    <row r="357" spans="2:8" x14ac:dyDescent="0.25">
      <c r="B357" s="331" t="s">
        <v>740</v>
      </c>
      <c r="C357" s="332">
        <v>20</v>
      </c>
      <c r="D357" s="333">
        <v>74224.63158510717</v>
      </c>
      <c r="E357" s="334"/>
      <c r="F357" s="331" t="s">
        <v>435</v>
      </c>
      <c r="G357" s="335">
        <v>96281.352642757076</v>
      </c>
      <c r="H357" s="333">
        <v>91453.055282240006</v>
      </c>
    </row>
    <row r="358" spans="2:8" x14ac:dyDescent="0.25">
      <c r="B358" s="320" t="s">
        <v>407</v>
      </c>
      <c r="C358" s="321"/>
      <c r="D358" s="322"/>
      <c r="E358" s="323"/>
      <c r="F358" s="320" t="s">
        <v>407</v>
      </c>
      <c r="G358" s="324"/>
      <c r="H358" s="322"/>
    </row>
    <row r="359" spans="2:8" x14ac:dyDescent="0.25">
      <c r="B359" s="325" t="s">
        <v>46</v>
      </c>
      <c r="C359" s="326">
        <v>1</v>
      </c>
      <c r="D359" s="327" t="s">
        <v>684</v>
      </c>
      <c r="E359" s="328"/>
      <c r="F359" s="325" t="s">
        <v>437</v>
      </c>
      <c r="G359" s="329">
        <v>73887.26063426405</v>
      </c>
      <c r="H359" s="327">
        <v>64800</v>
      </c>
    </row>
    <row r="360" spans="2:8" x14ac:dyDescent="0.25">
      <c r="B360" s="325" t="s">
        <v>18</v>
      </c>
      <c r="C360" s="326">
        <v>11</v>
      </c>
      <c r="D360" s="327">
        <v>76091.481902792133</v>
      </c>
      <c r="E360" s="328"/>
      <c r="F360" s="325" t="s">
        <v>438</v>
      </c>
      <c r="G360" s="329">
        <v>12740</v>
      </c>
      <c r="H360" s="327">
        <v>12740</v>
      </c>
    </row>
    <row r="361" spans="2:8" x14ac:dyDescent="0.25">
      <c r="B361" s="330" t="s">
        <v>244</v>
      </c>
      <c r="C361" s="326">
        <v>2</v>
      </c>
      <c r="D361" s="327" t="s">
        <v>684</v>
      </c>
      <c r="E361" s="328"/>
      <c r="F361" s="330" t="s">
        <v>439</v>
      </c>
      <c r="G361" s="329">
        <v>9697.1150351866181</v>
      </c>
      <c r="H361" s="327">
        <v>8207.6431680000005</v>
      </c>
    </row>
    <row r="362" spans="2:8" x14ac:dyDescent="0.25">
      <c r="B362" s="331" t="s">
        <v>740</v>
      </c>
      <c r="C362" s="332">
        <v>14</v>
      </c>
      <c r="D362" s="333">
        <v>73887.26063426405</v>
      </c>
      <c r="E362" s="334"/>
      <c r="F362" s="331" t="s">
        <v>435</v>
      </c>
      <c r="G362" s="335">
        <v>96324.375669450674</v>
      </c>
      <c r="H362" s="333">
        <v>85747.643167999995</v>
      </c>
    </row>
    <row r="363" spans="2:8" x14ac:dyDescent="0.25">
      <c r="B363" s="320" t="s">
        <v>299</v>
      </c>
      <c r="C363" s="321"/>
      <c r="D363" s="322"/>
      <c r="E363" s="323"/>
      <c r="F363" s="320" t="s">
        <v>299</v>
      </c>
      <c r="G363" s="324"/>
      <c r="H363" s="322"/>
    </row>
    <row r="364" spans="2:8" x14ac:dyDescent="0.25">
      <c r="B364" s="325" t="s">
        <v>46</v>
      </c>
      <c r="C364" s="326">
        <v>0</v>
      </c>
      <c r="D364" s="327" t="s">
        <v>684</v>
      </c>
      <c r="E364" s="328"/>
      <c r="F364" s="325" t="s">
        <v>437</v>
      </c>
      <c r="G364" s="329">
        <v>49834.606310679614</v>
      </c>
      <c r="H364" s="327">
        <v>50766</v>
      </c>
    </row>
    <row r="365" spans="2:8" x14ac:dyDescent="0.25">
      <c r="B365" s="325" t="s">
        <v>18</v>
      </c>
      <c r="C365" s="326">
        <v>9</v>
      </c>
      <c r="D365" s="327">
        <v>52912.712621359227</v>
      </c>
      <c r="E365" s="328"/>
      <c r="F365" s="325" t="s">
        <v>438</v>
      </c>
      <c r="G365" s="329">
        <v>12740</v>
      </c>
      <c r="H365" s="327">
        <v>12740</v>
      </c>
    </row>
    <row r="366" spans="2:8" x14ac:dyDescent="0.25">
      <c r="B366" s="330" t="s">
        <v>244</v>
      </c>
      <c r="C366" s="326">
        <v>2</v>
      </c>
      <c r="D366" s="327" t="s">
        <v>684</v>
      </c>
      <c r="E366" s="328"/>
      <c r="F366" s="330" t="s">
        <v>439</v>
      </c>
      <c r="G366" s="329">
        <v>6249.2259702059719</v>
      </c>
      <c r="H366" s="327">
        <v>6430.0804485600011</v>
      </c>
    </row>
    <row r="367" spans="2:8" x14ac:dyDescent="0.25">
      <c r="B367" s="331" t="s">
        <v>740</v>
      </c>
      <c r="C367" s="332">
        <v>11</v>
      </c>
      <c r="D367" s="333">
        <v>49834.606310679614</v>
      </c>
      <c r="E367" s="334"/>
      <c r="F367" s="331" t="s">
        <v>435</v>
      </c>
      <c r="G367" s="335">
        <v>68823.832280885588</v>
      </c>
      <c r="H367" s="333">
        <v>69936.080448559995</v>
      </c>
    </row>
    <row r="368" spans="2:8" x14ac:dyDescent="0.25">
      <c r="B368" s="320" t="s">
        <v>300</v>
      </c>
      <c r="C368" s="321"/>
      <c r="D368" s="322"/>
      <c r="E368" s="323"/>
      <c r="F368" s="320" t="s">
        <v>300</v>
      </c>
      <c r="G368" s="324"/>
      <c r="H368" s="322"/>
    </row>
    <row r="369" spans="2:8" x14ac:dyDescent="0.25">
      <c r="B369" s="325" t="s">
        <v>46</v>
      </c>
      <c r="C369" s="326">
        <v>0</v>
      </c>
      <c r="D369" s="327" t="s">
        <v>684</v>
      </c>
      <c r="E369" s="328"/>
      <c r="F369" s="325" t="s">
        <v>437</v>
      </c>
      <c r="G369" s="329">
        <v>72787.936403508778</v>
      </c>
      <c r="H369" s="327">
        <v>49560</v>
      </c>
    </row>
    <row r="370" spans="2:8" x14ac:dyDescent="0.25">
      <c r="B370" s="325" t="s">
        <v>18</v>
      </c>
      <c r="C370" s="326">
        <v>5</v>
      </c>
      <c r="D370" s="327">
        <v>79468.872807017557</v>
      </c>
      <c r="E370" s="328"/>
      <c r="F370" s="325" t="s">
        <v>438</v>
      </c>
      <c r="G370" s="329">
        <v>12740</v>
      </c>
      <c r="H370" s="327">
        <v>12740</v>
      </c>
    </row>
    <row r="371" spans="2:8" x14ac:dyDescent="0.25">
      <c r="B371" s="330" t="s">
        <v>244</v>
      </c>
      <c r="C371" s="326">
        <v>4</v>
      </c>
      <c r="D371" s="327" t="s">
        <v>684</v>
      </c>
      <c r="E371" s="328"/>
      <c r="F371" s="330" t="s">
        <v>439</v>
      </c>
      <c r="G371" s="329">
        <v>6993.5820556953622</v>
      </c>
      <c r="H371" s="327">
        <v>6277.3270896000004</v>
      </c>
    </row>
    <row r="372" spans="2:8" x14ac:dyDescent="0.25">
      <c r="B372" s="331" t="s">
        <v>740</v>
      </c>
      <c r="C372" s="332">
        <v>9</v>
      </c>
      <c r="D372" s="333">
        <v>72787.936403508778</v>
      </c>
      <c r="E372" s="334"/>
      <c r="F372" s="331" t="s">
        <v>435</v>
      </c>
      <c r="G372" s="335">
        <v>92521.518459204148</v>
      </c>
      <c r="H372" s="333">
        <v>68577.327089600003</v>
      </c>
    </row>
    <row r="373" spans="2:8" x14ac:dyDescent="0.25">
      <c r="B373" s="320" t="s">
        <v>301</v>
      </c>
      <c r="C373" s="321"/>
      <c r="D373" s="322"/>
      <c r="E373" s="323"/>
      <c r="F373" s="320" t="s">
        <v>301</v>
      </c>
      <c r="G373" s="324"/>
      <c r="H373" s="322"/>
    </row>
    <row r="374" spans="2:8" x14ac:dyDescent="0.25">
      <c r="B374" s="325" t="s">
        <v>46</v>
      </c>
      <c r="C374" s="326">
        <v>0</v>
      </c>
      <c r="D374" s="327" t="s">
        <v>684</v>
      </c>
      <c r="E374" s="328"/>
      <c r="F374" s="325" t="s">
        <v>437</v>
      </c>
      <c r="G374" s="329">
        <v>48817</v>
      </c>
      <c r="H374" s="327">
        <v>43914</v>
      </c>
    </row>
    <row r="375" spans="2:8" x14ac:dyDescent="0.25">
      <c r="B375" s="325" t="s">
        <v>18</v>
      </c>
      <c r="C375" s="326">
        <v>0</v>
      </c>
      <c r="D375" s="327" t="s">
        <v>684</v>
      </c>
      <c r="E375" s="328"/>
      <c r="F375" s="325" t="s">
        <v>438</v>
      </c>
      <c r="G375" s="329">
        <v>12740</v>
      </c>
      <c r="H375" s="327">
        <v>12740</v>
      </c>
    </row>
    <row r="376" spans="2:8" x14ac:dyDescent="0.25">
      <c r="B376" s="330" t="s">
        <v>244</v>
      </c>
      <c r="C376" s="326">
        <v>5</v>
      </c>
      <c r="D376" s="327">
        <v>48817</v>
      </c>
      <c r="E376" s="328"/>
      <c r="F376" s="330" t="s">
        <v>439</v>
      </c>
      <c r="G376" s="329">
        <v>1952.68</v>
      </c>
      <c r="H376" s="327">
        <v>5562.1981802400005</v>
      </c>
    </row>
    <row r="377" spans="2:8" x14ac:dyDescent="0.25">
      <c r="B377" s="331" t="s">
        <v>740</v>
      </c>
      <c r="C377" s="332">
        <v>5</v>
      </c>
      <c r="D377" s="333">
        <v>48817</v>
      </c>
      <c r="E377" s="334"/>
      <c r="F377" s="331" t="s">
        <v>435</v>
      </c>
      <c r="G377" s="335">
        <v>63509.68</v>
      </c>
      <c r="H377" s="333">
        <v>62216.198180239997</v>
      </c>
    </row>
    <row r="378" spans="2:8" x14ac:dyDescent="0.25">
      <c r="B378" s="320" t="s">
        <v>302</v>
      </c>
      <c r="C378" s="321"/>
      <c r="D378" s="322"/>
      <c r="E378" s="323"/>
      <c r="F378" s="320" t="s">
        <v>302</v>
      </c>
      <c r="G378" s="324"/>
      <c r="H378" s="322"/>
    </row>
    <row r="379" spans="2:8" x14ac:dyDescent="0.25">
      <c r="B379" s="325" t="s">
        <v>46</v>
      </c>
      <c r="C379" s="326">
        <v>2</v>
      </c>
      <c r="D379" s="327" t="s">
        <v>684</v>
      </c>
      <c r="E379" s="328"/>
      <c r="F379" s="325" t="s">
        <v>437</v>
      </c>
      <c r="G379" s="329">
        <v>75270.937792486584</v>
      </c>
      <c r="H379" s="327">
        <v>61710</v>
      </c>
    </row>
    <row r="380" spans="2:8" x14ac:dyDescent="0.25">
      <c r="B380" s="325" t="s">
        <v>18</v>
      </c>
      <c r="C380" s="326">
        <v>11</v>
      </c>
      <c r="D380" s="327">
        <v>74794.721377459762</v>
      </c>
      <c r="E380" s="328"/>
      <c r="F380" s="325" t="s">
        <v>438</v>
      </c>
      <c r="G380" s="329">
        <v>12740</v>
      </c>
      <c r="H380" s="327">
        <v>12740</v>
      </c>
    </row>
    <row r="381" spans="2:8" x14ac:dyDescent="0.25">
      <c r="B381" s="330" t="s">
        <v>244</v>
      </c>
      <c r="C381" s="326">
        <v>4</v>
      </c>
      <c r="D381" s="327" t="s">
        <v>684</v>
      </c>
      <c r="E381" s="328"/>
      <c r="F381" s="330" t="s">
        <v>439</v>
      </c>
      <c r="G381" s="329">
        <v>9089.9382596866744</v>
      </c>
      <c r="H381" s="327">
        <v>7816.2601836000003</v>
      </c>
    </row>
    <row r="382" spans="2:8" x14ac:dyDescent="0.25">
      <c r="B382" s="331" t="s">
        <v>740</v>
      </c>
      <c r="C382" s="332">
        <v>17</v>
      </c>
      <c r="D382" s="333">
        <v>75270.937792486584</v>
      </c>
      <c r="E382" s="334"/>
      <c r="F382" s="331" t="s">
        <v>435</v>
      </c>
      <c r="G382" s="335">
        <v>97100.876052173262</v>
      </c>
      <c r="H382" s="333">
        <v>82266.260183599996</v>
      </c>
    </row>
    <row r="383" spans="2:8" x14ac:dyDescent="0.25">
      <c r="B383" s="320" t="s">
        <v>408</v>
      </c>
      <c r="C383" s="321"/>
      <c r="D383" s="322"/>
      <c r="E383" s="323"/>
      <c r="F383" s="320" t="s">
        <v>408</v>
      </c>
      <c r="G383" s="324"/>
      <c r="H383" s="322"/>
    </row>
    <row r="384" spans="2:8" x14ac:dyDescent="0.25">
      <c r="B384" s="325" t="s">
        <v>46</v>
      </c>
      <c r="C384" s="326">
        <v>0</v>
      </c>
      <c r="D384" s="327" t="s">
        <v>684</v>
      </c>
      <c r="E384" s="328"/>
      <c r="F384" s="325" t="s">
        <v>437</v>
      </c>
      <c r="G384" s="329">
        <v>84123.087075660325</v>
      </c>
      <c r="H384" s="327">
        <v>64800</v>
      </c>
    </row>
    <row r="385" spans="2:8" x14ac:dyDescent="0.25">
      <c r="B385" s="325" t="s">
        <v>18</v>
      </c>
      <c r="C385" s="326">
        <v>8</v>
      </c>
      <c r="D385" s="327">
        <v>84123.087075660325</v>
      </c>
      <c r="E385" s="328"/>
      <c r="F385" s="325" t="s">
        <v>438</v>
      </c>
      <c r="G385" s="329">
        <v>13536.25</v>
      </c>
      <c r="H385" s="327">
        <v>12740</v>
      </c>
    </row>
    <row r="386" spans="2:8" x14ac:dyDescent="0.25">
      <c r="B386" s="330" t="s">
        <v>244</v>
      </c>
      <c r="C386" s="326">
        <v>0</v>
      </c>
      <c r="D386" s="327" t="s">
        <v>684</v>
      </c>
      <c r="E386" s="328"/>
      <c r="F386" s="330" t="s">
        <v>439</v>
      </c>
      <c r="G386" s="329">
        <v>11203.294216272941</v>
      </c>
      <c r="H386" s="327">
        <v>8207.6431680000005</v>
      </c>
    </row>
    <row r="387" spans="2:8" x14ac:dyDescent="0.25">
      <c r="B387" s="331" t="s">
        <v>740</v>
      </c>
      <c r="C387" s="332">
        <v>8</v>
      </c>
      <c r="D387" s="333">
        <v>84123.087075660325</v>
      </c>
      <c r="E387" s="334"/>
      <c r="F387" s="331" t="s">
        <v>435</v>
      </c>
      <c r="G387" s="335">
        <v>108862.63129193327</v>
      </c>
      <c r="H387" s="333">
        <v>85747.643167999995</v>
      </c>
    </row>
    <row r="388" spans="2:8" x14ac:dyDescent="0.25">
      <c r="B388" s="320" t="s">
        <v>303</v>
      </c>
      <c r="C388" s="321"/>
      <c r="D388" s="322"/>
      <c r="E388" s="323"/>
      <c r="F388" s="320" t="s">
        <v>303</v>
      </c>
      <c r="G388" s="324"/>
      <c r="H388" s="322"/>
    </row>
    <row r="389" spans="2:8" x14ac:dyDescent="0.25">
      <c r="B389" s="325" t="s">
        <v>46</v>
      </c>
      <c r="C389" s="326">
        <v>0</v>
      </c>
      <c r="D389" s="327" t="s">
        <v>684</v>
      </c>
      <c r="E389" s="328"/>
      <c r="F389" s="325" t="s">
        <v>437</v>
      </c>
      <c r="G389" s="329" t="s">
        <v>684</v>
      </c>
      <c r="H389" s="327">
        <v>48336</v>
      </c>
    </row>
    <row r="390" spans="2:8" x14ac:dyDescent="0.25">
      <c r="B390" s="325" t="s">
        <v>18</v>
      </c>
      <c r="C390" s="326">
        <v>0</v>
      </c>
      <c r="D390" s="327" t="s">
        <v>684</v>
      </c>
      <c r="E390" s="328"/>
      <c r="F390" s="325" t="s">
        <v>438</v>
      </c>
      <c r="G390" s="329" t="s">
        <v>684</v>
      </c>
      <c r="H390" s="327">
        <v>12740</v>
      </c>
    </row>
    <row r="391" spans="2:8" x14ac:dyDescent="0.25">
      <c r="B391" s="330" t="s">
        <v>244</v>
      </c>
      <c r="C391" s="326">
        <v>4</v>
      </c>
      <c r="D391" s="327" t="s">
        <v>684</v>
      </c>
      <c r="E391" s="328"/>
      <c r="F391" s="330" t="s">
        <v>439</v>
      </c>
      <c r="G391" s="329" t="s">
        <v>684</v>
      </c>
      <c r="H391" s="327">
        <v>6122.2938297600003</v>
      </c>
    </row>
    <row r="392" spans="2:8" x14ac:dyDescent="0.25">
      <c r="B392" s="331" t="s">
        <v>740</v>
      </c>
      <c r="C392" s="332">
        <v>4</v>
      </c>
      <c r="D392" s="333" t="s">
        <v>684</v>
      </c>
      <c r="E392" s="334"/>
      <c r="F392" s="331" t="s">
        <v>435</v>
      </c>
      <c r="G392" s="335">
        <v>0</v>
      </c>
      <c r="H392" s="333">
        <v>67198.293829760005</v>
      </c>
    </row>
    <row r="393" spans="2:8" x14ac:dyDescent="0.25">
      <c r="B393" s="320" t="s">
        <v>304</v>
      </c>
      <c r="C393" s="321"/>
      <c r="D393" s="322"/>
      <c r="E393" s="323"/>
      <c r="F393" s="320" t="s">
        <v>304</v>
      </c>
      <c r="G393" s="324"/>
      <c r="H393" s="322"/>
    </row>
    <row r="394" spans="2:8" x14ac:dyDescent="0.25">
      <c r="B394" s="325" t="s">
        <v>46</v>
      </c>
      <c r="C394" s="326">
        <v>6</v>
      </c>
      <c r="D394" s="327">
        <v>89779.040000000008</v>
      </c>
      <c r="E394" s="328"/>
      <c r="F394" s="325" t="s">
        <v>437</v>
      </c>
      <c r="G394" s="329">
        <v>92881.87000000001</v>
      </c>
      <c r="H394" s="327">
        <v>106386</v>
      </c>
    </row>
    <row r="395" spans="2:8" x14ac:dyDescent="0.25">
      <c r="B395" s="325" t="s">
        <v>18</v>
      </c>
      <c r="C395" s="326">
        <v>0</v>
      </c>
      <c r="D395" s="327" t="s">
        <v>684</v>
      </c>
      <c r="E395" s="328"/>
      <c r="F395" s="325" t="s">
        <v>438</v>
      </c>
      <c r="G395" s="329">
        <v>12740</v>
      </c>
      <c r="H395" s="327">
        <v>12740</v>
      </c>
    </row>
    <row r="396" spans="2:8" x14ac:dyDescent="0.25">
      <c r="B396" s="330" t="s">
        <v>244</v>
      </c>
      <c r="C396" s="326">
        <v>4</v>
      </c>
      <c r="D396" s="327" t="s">
        <v>684</v>
      </c>
      <c r="E396" s="328"/>
      <c r="F396" s="330" t="s">
        <v>439</v>
      </c>
      <c r="G396" s="329">
        <v>9456.3917148438122</v>
      </c>
      <c r="H396" s="327">
        <v>13474.974167760001</v>
      </c>
    </row>
    <row r="397" spans="2:8" x14ac:dyDescent="0.25">
      <c r="B397" s="331" t="s">
        <v>740</v>
      </c>
      <c r="C397" s="332">
        <v>10</v>
      </c>
      <c r="D397" s="333">
        <v>92881.87000000001</v>
      </c>
      <c r="E397" s="334"/>
      <c r="F397" s="331" t="s">
        <v>435</v>
      </c>
      <c r="G397" s="335">
        <v>115078.26171484383</v>
      </c>
      <c r="H397" s="333">
        <v>132600.97416776</v>
      </c>
    </row>
    <row r="398" spans="2:8" x14ac:dyDescent="0.25">
      <c r="B398" s="320" t="s">
        <v>305</v>
      </c>
      <c r="C398" s="321"/>
      <c r="D398" s="322"/>
      <c r="E398" s="323"/>
      <c r="F398" s="320" t="s">
        <v>305</v>
      </c>
      <c r="G398" s="324"/>
      <c r="H398" s="322"/>
    </row>
    <row r="399" spans="2:8" x14ac:dyDescent="0.25">
      <c r="B399" s="325" t="s">
        <v>46</v>
      </c>
      <c r="C399" s="326">
        <v>2</v>
      </c>
      <c r="D399" s="327" t="s">
        <v>684</v>
      </c>
      <c r="E399" s="328"/>
      <c r="F399" s="325" t="s">
        <v>437</v>
      </c>
      <c r="G399" s="329">
        <v>70206.425000000003</v>
      </c>
      <c r="H399" s="327">
        <v>68112</v>
      </c>
    </row>
    <row r="400" spans="2:8" x14ac:dyDescent="0.25">
      <c r="B400" s="325" t="s">
        <v>18</v>
      </c>
      <c r="C400" s="326">
        <v>0</v>
      </c>
      <c r="D400" s="327" t="s">
        <v>684</v>
      </c>
      <c r="E400" s="328"/>
      <c r="F400" s="325" t="s">
        <v>438</v>
      </c>
      <c r="G400" s="329">
        <v>12740</v>
      </c>
      <c r="H400" s="327">
        <v>12740</v>
      </c>
    </row>
    <row r="401" spans="2:8" x14ac:dyDescent="0.25">
      <c r="B401" s="330" t="s">
        <v>244</v>
      </c>
      <c r="C401" s="326">
        <v>5</v>
      </c>
      <c r="D401" s="327">
        <v>61800</v>
      </c>
      <c r="E401" s="328"/>
      <c r="F401" s="330" t="s">
        <v>439</v>
      </c>
      <c r="G401" s="329">
        <v>2683.2000000000003</v>
      </c>
      <c r="H401" s="327">
        <v>8627.1449299200012</v>
      </c>
    </row>
    <row r="402" spans="2:8" x14ac:dyDescent="0.25">
      <c r="B402" s="331" t="s">
        <v>740</v>
      </c>
      <c r="C402" s="332">
        <v>7</v>
      </c>
      <c r="D402" s="333">
        <v>70206.425000000003</v>
      </c>
      <c r="E402" s="334"/>
      <c r="F402" s="331" t="s">
        <v>435</v>
      </c>
      <c r="G402" s="335">
        <v>85629.625</v>
      </c>
      <c r="H402" s="333">
        <v>89479.144929920003</v>
      </c>
    </row>
    <row r="403" spans="2:8" x14ac:dyDescent="0.25">
      <c r="B403" s="320" t="s">
        <v>306</v>
      </c>
      <c r="C403" s="321"/>
      <c r="D403" s="322"/>
      <c r="E403" s="323"/>
      <c r="F403" s="320" t="s">
        <v>306</v>
      </c>
      <c r="G403" s="324"/>
      <c r="H403" s="322"/>
    </row>
    <row r="404" spans="2:8" x14ac:dyDescent="0.25">
      <c r="B404" s="325" t="s">
        <v>46</v>
      </c>
      <c r="C404" s="326">
        <v>1</v>
      </c>
      <c r="D404" s="327" t="s">
        <v>684</v>
      </c>
      <c r="E404" s="328"/>
      <c r="F404" s="325" t="s">
        <v>437</v>
      </c>
      <c r="G404" s="329">
        <v>69081.5</v>
      </c>
      <c r="H404" s="327">
        <v>49560</v>
      </c>
    </row>
    <row r="405" spans="2:8" x14ac:dyDescent="0.25">
      <c r="B405" s="325" t="s">
        <v>18</v>
      </c>
      <c r="C405" s="326">
        <v>0</v>
      </c>
      <c r="D405" s="327" t="s">
        <v>684</v>
      </c>
      <c r="E405" s="328"/>
      <c r="F405" s="325" t="s">
        <v>438</v>
      </c>
      <c r="G405" s="329">
        <v>12740</v>
      </c>
      <c r="H405" s="327">
        <v>12740</v>
      </c>
    </row>
    <row r="406" spans="2:8" x14ac:dyDescent="0.25">
      <c r="B406" s="330" t="s">
        <v>244</v>
      </c>
      <c r="C406" s="326">
        <v>5</v>
      </c>
      <c r="D406" s="327">
        <v>41299</v>
      </c>
      <c r="E406" s="328"/>
      <c r="F406" s="330" t="s">
        <v>439</v>
      </c>
      <c r="G406" s="329">
        <v>1676.041289135906</v>
      </c>
      <c r="H406" s="327">
        <v>6277.3270896000004</v>
      </c>
    </row>
    <row r="407" spans="2:8" x14ac:dyDescent="0.25">
      <c r="B407" s="331" t="s">
        <v>740</v>
      </c>
      <c r="C407" s="332">
        <v>6</v>
      </c>
      <c r="D407" s="333">
        <v>69081.5</v>
      </c>
      <c r="E407" s="334"/>
      <c r="F407" s="331" t="s">
        <v>435</v>
      </c>
      <c r="G407" s="335">
        <v>83497.541289135901</v>
      </c>
      <c r="H407" s="333">
        <v>68577.327089600003</v>
      </c>
    </row>
    <row r="408" spans="2:8" x14ac:dyDescent="0.25">
      <c r="B408" s="320" t="s">
        <v>307</v>
      </c>
      <c r="C408" s="321"/>
      <c r="D408" s="322"/>
      <c r="E408" s="323"/>
      <c r="F408" s="320" t="s">
        <v>307</v>
      </c>
      <c r="G408" s="324"/>
      <c r="H408" s="322"/>
    </row>
    <row r="409" spans="2:8" x14ac:dyDescent="0.25">
      <c r="B409" s="325" t="s">
        <v>46</v>
      </c>
      <c r="C409" s="326">
        <v>1</v>
      </c>
      <c r="D409" s="327" t="s">
        <v>684</v>
      </c>
      <c r="E409" s="328"/>
      <c r="F409" s="325" t="s">
        <v>437</v>
      </c>
      <c r="G409" s="329">
        <v>185468.04990419341</v>
      </c>
      <c r="H409" s="327">
        <v>150126</v>
      </c>
    </row>
    <row r="410" spans="2:8" x14ac:dyDescent="0.25">
      <c r="B410" s="325" t="s">
        <v>18</v>
      </c>
      <c r="C410" s="326">
        <v>14</v>
      </c>
      <c r="D410" s="327">
        <v>170016.4217125802</v>
      </c>
      <c r="E410" s="328"/>
      <c r="F410" s="325" t="s">
        <v>438</v>
      </c>
      <c r="G410" s="329">
        <v>12740</v>
      </c>
      <c r="H410" s="327">
        <v>12740</v>
      </c>
    </row>
    <row r="411" spans="2:8" x14ac:dyDescent="0.25">
      <c r="B411" s="330" t="s">
        <v>244</v>
      </c>
      <c r="C411" s="326">
        <v>5</v>
      </c>
      <c r="D411" s="327">
        <v>201644</v>
      </c>
      <c r="E411" s="328"/>
      <c r="F411" s="330" t="s">
        <v>439</v>
      </c>
      <c r="G411" s="329">
        <v>20281.278085690476</v>
      </c>
      <c r="H411" s="327">
        <v>19015.133306160002</v>
      </c>
    </row>
    <row r="412" spans="2:8" x14ac:dyDescent="0.25">
      <c r="B412" s="331" t="s">
        <v>740</v>
      </c>
      <c r="C412" s="332">
        <v>20</v>
      </c>
      <c r="D412" s="333">
        <v>185468.04990419341</v>
      </c>
      <c r="E412" s="334"/>
      <c r="F412" s="331" t="s">
        <v>435</v>
      </c>
      <c r="G412" s="335">
        <v>218489.3279898839</v>
      </c>
      <c r="H412" s="333">
        <v>181881.13330615999</v>
      </c>
    </row>
    <row r="413" spans="2:8" x14ac:dyDescent="0.25">
      <c r="B413" s="320" t="s">
        <v>308</v>
      </c>
      <c r="C413" s="321"/>
      <c r="D413" s="322"/>
      <c r="E413" s="323"/>
      <c r="F413" s="320" t="s">
        <v>308</v>
      </c>
      <c r="G413" s="324"/>
      <c r="H413" s="322"/>
    </row>
    <row r="414" spans="2:8" x14ac:dyDescent="0.25">
      <c r="B414" s="325" t="s">
        <v>46</v>
      </c>
      <c r="C414" s="326">
        <v>0</v>
      </c>
      <c r="D414" s="327" t="s">
        <v>684</v>
      </c>
      <c r="E414" s="328"/>
      <c r="F414" s="325" t="s">
        <v>437</v>
      </c>
      <c r="G414" s="329">
        <v>248536.30477031803</v>
      </c>
      <c r="H414" s="327">
        <v>172356</v>
      </c>
    </row>
    <row r="415" spans="2:8" x14ac:dyDescent="0.25">
      <c r="B415" s="325" t="s">
        <v>18</v>
      </c>
      <c r="C415" s="326">
        <v>15</v>
      </c>
      <c r="D415" s="327">
        <v>228522.60954063607</v>
      </c>
      <c r="E415" s="328"/>
      <c r="F415" s="325" t="s">
        <v>438</v>
      </c>
      <c r="G415" s="329">
        <v>12740</v>
      </c>
      <c r="H415" s="327">
        <v>12740</v>
      </c>
    </row>
    <row r="416" spans="2:8" x14ac:dyDescent="0.25">
      <c r="B416" s="330" t="s">
        <v>244</v>
      </c>
      <c r="C416" s="326">
        <v>3</v>
      </c>
      <c r="D416" s="327" t="s">
        <v>684</v>
      </c>
      <c r="E416" s="328"/>
      <c r="F416" s="330" t="s">
        <v>439</v>
      </c>
      <c r="G416" s="329">
        <v>30824.489475848317</v>
      </c>
      <c r="H416" s="327">
        <v>21830.810892960002</v>
      </c>
    </row>
    <row r="417" spans="2:8" x14ac:dyDescent="0.25">
      <c r="B417" s="331" t="s">
        <v>740</v>
      </c>
      <c r="C417" s="332">
        <v>18</v>
      </c>
      <c r="D417" s="333">
        <v>248536.30477031803</v>
      </c>
      <c r="E417" s="334"/>
      <c r="F417" s="331" t="s">
        <v>435</v>
      </c>
      <c r="G417" s="335">
        <v>292100.79424616636</v>
      </c>
      <c r="H417" s="333">
        <v>206926.81089296</v>
      </c>
    </row>
    <row r="418" spans="2:8" x14ac:dyDescent="0.25">
      <c r="B418" s="320" t="s">
        <v>309</v>
      </c>
      <c r="C418" s="321"/>
      <c r="D418" s="322"/>
      <c r="E418" s="323"/>
      <c r="F418" s="320" t="s">
        <v>309</v>
      </c>
      <c r="G418" s="324"/>
      <c r="H418" s="322"/>
    </row>
    <row r="419" spans="2:8" x14ac:dyDescent="0.25">
      <c r="B419" s="325" t="s">
        <v>46</v>
      </c>
      <c r="C419" s="326">
        <v>1</v>
      </c>
      <c r="D419" s="327" t="s">
        <v>684</v>
      </c>
      <c r="E419" s="328"/>
      <c r="F419" s="325" t="s">
        <v>437</v>
      </c>
      <c r="G419" s="329">
        <v>240367.7576688054</v>
      </c>
      <c r="H419" s="327">
        <v>226152</v>
      </c>
    </row>
    <row r="420" spans="2:8" x14ac:dyDescent="0.25">
      <c r="B420" s="325" t="s">
        <v>18</v>
      </c>
      <c r="C420" s="326">
        <v>13</v>
      </c>
      <c r="D420" s="327">
        <v>251698.93300641616</v>
      </c>
      <c r="E420" s="328"/>
      <c r="F420" s="325" t="s">
        <v>438</v>
      </c>
      <c r="G420" s="329">
        <v>12740</v>
      </c>
      <c r="H420" s="327">
        <v>12740</v>
      </c>
    </row>
    <row r="421" spans="2:8" x14ac:dyDescent="0.25">
      <c r="B421" s="330" t="s">
        <v>244</v>
      </c>
      <c r="C421" s="326">
        <v>3</v>
      </c>
      <c r="D421" s="327" t="s">
        <v>684</v>
      </c>
      <c r="E421" s="328"/>
      <c r="F421" s="330" t="s">
        <v>439</v>
      </c>
      <c r="G421" s="329">
        <v>31222.720126473927</v>
      </c>
      <c r="H421" s="327">
        <v>28644.674656319999</v>
      </c>
    </row>
    <row r="422" spans="2:8" x14ac:dyDescent="0.25">
      <c r="B422" s="331" t="s">
        <v>740</v>
      </c>
      <c r="C422" s="332">
        <v>17</v>
      </c>
      <c r="D422" s="333">
        <v>240367.7576688054</v>
      </c>
      <c r="E422" s="334"/>
      <c r="F422" s="331" t="s">
        <v>435</v>
      </c>
      <c r="G422" s="335">
        <v>284330.47779527935</v>
      </c>
      <c r="H422" s="333">
        <v>267536.67465632001</v>
      </c>
    </row>
    <row r="423" spans="2:8" x14ac:dyDescent="0.25">
      <c r="B423" s="320" t="s">
        <v>310</v>
      </c>
      <c r="C423" s="321"/>
      <c r="D423" s="322"/>
      <c r="E423" s="323"/>
      <c r="F423" s="320" t="s">
        <v>310</v>
      </c>
      <c r="G423" s="324"/>
      <c r="H423" s="322"/>
    </row>
    <row r="424" spans="2:8" x14ac:dyDescent="0.25">
      <c r="B424" s="325" t="s">
        <v>46</v>
      </c>
      <c r="C424" s="326">
        <v>2</v>
      </c>
      <c r="D424" s="327" t="s">
        <v>684</v>
      </c>
      <c r="E424" s="328"/>
      <c r="F424" s="325" t="s">
        <v>437</v>
      </c>
      <c r="G424" s="329">
        <v>134138.72534164577</v>
      </c>
      <c r="H424" s="327">
        <v>143076</v>
      </c>
    </row>
    <row r="425" spans="2:8" x14ac:dyDescent="0.25">
      <c r="B425" s="325" t="s">
        <v>18</v>
      </c>
      <c r="C425" s="326">
        <v>0</v>
      </c>
      <c r="D425" s="327" t="s">
        <v>684</v>
      </c>
      <c r="E425" s="328"/>
      <c r="F425" s="325" t="s">
        <v>438</v>
      </c>
      <c r="G425" s="329">
        <v>12740</v>
      </c>
      <c r="H425" s="327">
        <v>12740</v>
      </c>
    </row>
    <row r="426" spans="2:8" x14ac:dyDescent="0.25">
      <c r="B426" s="330" t="s">
        <v>244</v>
      </c>
      <c r="C426" s="326">
        <v>4</v>
      </c>
      <c r="D426" s="327" t="s">
        <v>684</v>
      </c>
      <c r="E426" s="328"/>
      <c r="F426" s="330" t="s">
        <v>439</v>
      </c>
      <c r="G426" s="329">
        <v>5804.4788273316626</v>
      </c>
      <c r="H426" s="327">
        <v>18122.17212816</v>
      </c>
    </row>
    <row r="427" spans="2:8" x14ac:dyDescent="0.25">
      <c r="B427" s="331" t="s">
        <v>740</v>
      </c>
      <c r="C427" s="332">
        <v>6</v>
      </c>
      <c r="D427" s="333">
        <v>134138.72534164577</v>
      </c>
      <c r="E427" s="334"/>
      <c r="F427" s="331" t="s">
        <v>435</v>
      </c>
      <c r="G427" s="335">
        <v>152683.20416897742</v>
      </c>
      <c r="H427" s="333">
        <v>173938.17212815999</v>
      </c>
    </row>
    <row r="428" spans="2:8" x14ac:dyDescent="0.25">
      <c r="B428" s="320" t="s">
        <v>311</v>
      </c>
      <c r="C428" s="321"/>
      <c r="D428" s="322"/>
      <c r="E428" s="323"/>
      <c r="F428" s="320" t="s">
        <v>311</v>
      </c>
      <c r="G428" s="324"/>
      <c r="H428" s="322"/>
    </row>
    <row r="429" spans="2:8" x14ac:dyDescent="0.25">
      <c r="B429" s="325" t="s">
        <v>46</v>
      </c>
      <c r="C429" s="326">
        <v>1</v>
      </c>
      <c r="D429" s="327" t="s">
        <v>684</v>
      </c>
      <c r="E429" s="328"/>
      <c r="F429" s="325" t="s">
        <v>437</v>
      </c>
      <c r="G429" s="329">
        <v>90221.687447118878</v>
      </c>
      <c r="H429" s="327">
        <v>75150</v>
      </c>
    </row>
    <row r="430" spans="2:8" x14ac:dyDescent="0.25">
      <c r="B430" s="325" t="s">
        <v>18</v>
      </c>
      <c r="C430" s="326">
        <v>11</v>
      </c>
      <c r="D430" s="327">
        <v>74694.462341356673</v>
      </c>
      <c r="E430" s="328"/>
      <c r="F430" s="325" t="s">
        <v>438</v>
      </c>
      <c r="G430" s="329">
        <v>12740</v>
      </c>
      <c r="H430" s="327">
        <v>12740</v>
      </c>
    </row>
    <row r="431" spans="2:8" x14ac:dyDescent="0.25">
      <c r="B431" s="330" t="s">
        <v>244</v>
      </c>
      <c r="C431" s="326">
        <v>5</v>
      </c>
      <c r="D431" s="327">
        <v>88900</v>
      </c>
      <c r="E431" s="328"/>
      <c r="F431" s="330" t="s">
        <v>439</v>
      </c>
      <c r="G431" s="329">
        <v>9082.7961234256381</v>
      </c>
      <c r="H431" s="327">
        <v>9518.586174</v>
      </c>
    </row>
    <row r="432" spans="2:8" x14ac:dyDescent="0.25">
      <c r="B432" s="331" t="s">
        <v>740</v>
      </c>
      <c r="C432" s="332">
        <v>17</v>
      </c>
      <c r="D432" s="333">
        <v>90221.687447118878</v>
      </c>
      <c r="E432" s="334"/>
      <c r="F432" s="331" t="s">
        <v>435</v>
      </c>
      <c r="G432" s="335">
        <v>112044.48357054451</v>
      </c>
      <c r="H432" s="333">
        <v>97408.586173999996</v>
      </c>
    </row>
    <row r="433" spans="2:8" x14ac:dyDescent="0.25">
      <c r="B433" s="320" t="s">
        <v>312</v>
      </c>
      <c r="C433" s="321"/>
      <c r="D433" s="322"/>
      <c r="E433" s="323"/>
      <c r="F433" s="320" t="s">
        <v>312</v>
      </c>
      <c r="G433" s="324"/>
      <c r="H433" s="322"/>
    </row>
    <row r="434" spans="2:8" x14ac:dyDescent="0.25">
      <c r="B434" s="325" t="s">
        <v>46</v>
      </c>
      <c r="C434" s="326">
        <v>1</v>
      </c>
      <c r="D434" s="327" t="s">
        <v>684</v>
      </c>
      <c r="E434" s="328"/>
      <c r="F434" s="325" t="s">
        <v>437</v>
      </c>
      <c r="G434" s="329">
        <v>148143.432</v>
      </c>
      <c r="H434" s="327">
        <v>113478</v>
      </c>
    </row>
    <row r="435" spans="2:8" x14ac:dyDescent="0.25">
      <c r="B435" s="325" t="s">
        <v>18</v>
      </c>
      <c r="C435" s="326">
        <v>0</v>
      </c>
      <c r="D435" s="327" t="s">
        <v>684</v>
      </c>
      <c r="E435" s="328"/>
      <c r="F435" s="325" t="s">
        <v>438</v>
      </c>
      <c r="G435" s="329">
        <v>12740</v>
      </c>
      <c r="H435" s="327">
        <v>12740</v>
      </c>
    </row>
    <row r="436" spans="2:8" x14ac:dyDescent="0.25">
      <c r="B436" s="330" t="s">
        <v>244</v>
      </c>
      <c r="C436" s="326">
        <v>4</v>
      </c>
      <c r="D436" s="327" t="s">
        <v>684</v>
      </c>
      <c r="E436" s="328"/>
      <c r="F436" s="330" t="s">
        <v>439</v>
      </c>
      <c r="G436" s="329">
        <v>6044</v>
      </c>
      <c r="H436" s="327">
        <v>14373.25511448</v>
      </c>
    </row>
    <row r="437" spans="2:8" x14ac:dyDescent="0.25">
      <c r="B437" s="331" t="s">
        <v>740</v>
      </c>
      <c r="C437" s="332">
        <v>5</v>
      </c>
      <c r="D437" s="333">
        <v>148143.432</v>
      </c>
      <c r="E437" s="334"/>
      <c r="F437" s="331" t="s">
        <v>435</v>
      </c>
      <c r="G437" s="335">
        <v>166927.432</v>
      </c>
      <c r="H437" s="333">
        <v>140591.25511448001</v>
      </c>
    </row>
    <row r="438" spans="2:8" x14ac:dyDescent="0.25">
      <c r="B438" s="320" t="s">
        <v>313</v>
      </c>
      <c r="C438" s="321"/>
      <c r="D438" s="322"/>
      <c r="E438" s="323"/>
      <c r="F438" s="320" t="s">
        <v>313</v>
      </c>
      <c r="G438" s="324"/>
      <c r="H438" s="322"/>
    </row>
    <row r="439" spans="2:8" x14ac:dyDescent="0.25">
      <c r="B439" s="325" t="s">
        <v>46</v>
      </c>
      <c r="C439" s="326">
        <v>1</v>
      </c>
      <c r="D439" s="327" t="s">
        <v>684</v>
      </c>
      <c r="E439" s="328"/>
      <c r="F439" s="325" t="s">
        <v>437</v>
      </c>
      <c r="G439" s="329">
        <v>54777.100000000006</v>
      </c>
      <c r="H439" s="327">
        <v>64800</v>
      </c>
    </row>
    <row r="440" spans="2:8" x14ac:dyDescent="0.25">
      <c r="B440" s="325" t="s">
        <v>18</v>
      </c>
      <c r="C440" s="326">
        <v>0</v>
      </c>
      <c r="D440" s="327" t="s">
        <v>684</v>
      </c>
      <c r="E440" s="328"/>
      <c r="F440" s="325" t="s">
        <v>438</v>
      </c>
      <c r="G440" s="329">
        <v>12740</v>
      </c>
      <c r="H440" s="327">
        <v>12740</v>
      </c>
    </row>
    <row r="441" spans="2:8" x14ac:dyDescent="0.25">
      <c r="B441" s="330" t="s">
        <v>244</v>
      </c>
      <c r="C441" s="326">
        <v>5</v>
      </c>
      <c r="D441" s="327">
        <v>47500</v>
      </c>
      <c r="E441" s="328"/>
      <c r="F441" s="330" t="s">
        <v>439</v>
      </c>
      <c r="G441" s="329">
        <v>1966.486438480963</v>
      </c>
      <c r="H441" s="327">
        <v>8207.6431680000005</v>
      </c>
    </row>
    <row r="442" spans="2:8" x14ac:dyDescent="0.25">
      <c r="B442" s="331" t="s">
        <v>740</v>
      </c>
      <c r="C442" s="332">
        <v>6</v>
      </c>
      <c r="D442" s="333">
        <v>54777.100000000006</v>
      </c>
      <c r="E442" s="334"/>
      <c r="F442" s="331" t="s">
        <v>435</v>
      </c>
      <c r="G442" s="335">
        <v>69483.586438480968</v>
      </c>
      <c r="H442" s="333">
        <v>85747.643167999995</v>
      </c>
    </row>
    <row r="443" spans="2:8" x14ac:dyDescent="0.25">
      <c r="B443" s="320" t="s">
        <v>314</v>
      </c>
      <c r="C443" s="321"/>
      <c r="D443" s="322"/>
      <c r="E443" s="323"/>
      <c r="F443" s="320" t="s">
        <v>314</v>
      </c>
      <c r="G443" s="324"/>
      <c r="H443" s="322"/>
    </row>
    <row r="444" spans="2:8" x14ac:dyDescent="0.25">
      <c r="B444" s="325" t="s">
        <v>46</v>
      </c>
      <c r="C444" s="326">
        <v>0</v>
      </c>
      <c r="D444" s="327" t="s">
        <v>684</v>
      </c>
      <c r="E444" s="328"/>
      <c r="F444" s="325" t="s">
        <v>437</v>
      </c>
      <c r="G444" s="329">
        <v>77209.599999999991</v>
      </c>
      <c r="H444" s="327">
        <v>57306</v>
      </c>
    </row>
    <row r="445" spans="2:8" x14ac:dyDescent="0.25">
      <c r="B445" s="325" t="s">
        <v>18</v>
      </c>
      <c r="C445" s="326">
        <v>0</v>
      </c>
      <c r="D445" s="327" t="s">
        <v>684</v>
      </c>
      <c r="E445" s="328"/>
      <c r="F445" s="325" t="s">
        <v>438</v>
      </c>
      <c r="G445" s="329">
        <v>12740</v>
      </c>
      <c r="H445" s="327">
        <v>12740</v>
      </c>
    </row>
    <row r="446" spans="2:8" x14ac:dyDescent="0.25">
      <c r="B446" s="330" t="s">
        <v>244</v>
      </c>
      <c r="C446" s="326">
        <v>5</v>
      </c>
      <c r="D446" s="327">
        <v>77209.599999999991</v>
      </c>
      <c r="E446" s="328"/>
      <c r="F446" s="330" t="s">
        <v>439</v>
      </c>
      <c r="G446" s="329">
        <v>3088.3839999999996</v>
      </c>
      <c r="H446" s="327">
        <v>7258.4444349600008</v>
      </c>
    </row>
    <row r="447" spans="2:8" x14ac:dyDescent="0.25">
      <c r="B447" s="331" t="s">
        <v>740</v>
      </c>
      <c r="C447" s="332">
        <v>5</v>
      </c>
      <c r="D447" s="333">
        <v>77209.599999999991</v>
      </c>
      <c r="E447" s="334"/>
      <c r="F447" s="331" t="s">
        <v>435</v>
      </c>
      <c r="G447" s="335">
        <v>93037.983999999997</v>
      </c>
      <c r="H447" s="333">
        <v>77304.444434959994</v>
      </c>
    </row>
    <row r="448" spans="2:8" x14ac:dyDescent="0.25">
      <c r="B448" s="320" t="s">
        <v>315</v>
      </c>
      <c r="C448" s="321"/>
      <c r="D448" s="322"/>
      <c r="E448" s="323"/>
      <c r="F448" s="320" t="s">
        <v>315</v>
      </c>
      <c r="G448" s="324"/>
      <c r="H448" s="322"/>
    </row>
    <row r="449" spans="2:8" x14ac:dyDescent="0.25">
      <c r="B449" s="325" t="s">
        <v>46</v>
      </c>
      <c r="C449" s="326">
        <v>0</v>
      </c>
      <c r="D449" s="327" t="s">
        <v>684</v>
      </c>
      <c r="E449" s="328"/>
      <c r="F449" s="325" t="s">
        <v>437</v>
      </c>
      <c r="G449" s="329" t="s">
        <v>684</v>
      </c>
      <c r="H449" s="327">
        <v>61710</v>
      </c>
    </row>
    <row r="450" spans="2:8" x14ac:dyDescent="0.25">
      <c r="B450" s="325" t="s">
        <v>18</v>
      </c>
      <c r="C450" s="326">
        <v>0</v>
      </c>
      <c r="D450" s="327" t="s">
        <v>684</v>
      </c>
      <c r="E450" s="328"/>
      <c r="F450" s="325" t="s">
        <v>438</v>
      </c>
      <c r="G450" s="329" t="s">
        <v>684</v>
      </c>
      <c r="H450" s="327">
        <v>12740</v>
      </c>
    </row>
    <row r="451" spans="2:8" x14ac:dyDescent="0.25">
      <c r="B451" s="330" t="s">
        <v>244</v>
      </c>
      <c r="C451" s="326">
        <v>4</v>
      </c>
      <c r="D451" s="327" t="s">
        <v>684</v>
      </c>
      <c r="E451" s="328"/>
      <c r="F451" s="330" t="s">
        <v>439</v>
      </c>
      <c r="G451" s="329" t="s">
        <v>684</v>
      </c>
      <c r="H451" s="327">
        <v>7816.2601836000003</v>
      </c>
    </row>
    <row r="452" spans="2:8" x14ac:dyDescent="0.25">
      <c r="B452" s="331" t="s">
        <v>740</v>
      </c>
      <c r="C452" s="332">
        <v>4</v>
      </c>
      <c r="D452" s="333" t="s">
        <v>684</v>
      </c>
      <c r="E452" s="334"/>
      <c r="F452" s="331" t="s">
        <v>435</v>
      </c>
      <c r="G452" s="335">
        <v>0</v>
      </c>
      <c r="H452" s="333">
        <v>82266.260183599996</v>
      </c>
    </row>
    <row r="453" spans="2:8" x14ac:dyDescent="0.25">
      <c r="B453" s="320" t="s">
        <v>316</v>
      </c>
      <c r="C453" s="321"/>
      <c r="D453" s="322"/>
      <c r="E453" s="323"/>
      <c r="F453" s="320" t="s">
        <v>316</v>
      </c>
      <c r="G453" s="324"/>
      <c r="H453" s="322"/>
    </row>
    <row r="454" spans="2:8" x14ac:dyDescent="0.25">
      <c r="B454" s="325" t="s">
        <v>46</v>
      </c>
      <c r="C454" s="326">
        <v>0</v>
      </c>
      <c r="D454" s="327" t="s">
        <v>684</v>
      </c>
      <c r="E454" s="328"/>
      <c r="F454" s="325" t="s">
        <v>437</v>
      </c>
      <c r="G454" s="329" t="s">
        <v>684</v>
      </c>
      <c r="H454" s="327">
        <v>66432</v>
      </c>
    </row>
    <row r="455" spans="2:8" x14ac:dyDescent="0.25">
      <c r="B455" s="325" t="s">
        <v>18</v>
      </c>
      <c r="C455" s="326">
        <v>0</v>
      </c>
      <c r="D455" s="327" t="s">
        <v>684</v>
      </c>
      <c r="E455" s="328"/>
      <c r="F455" s="325" t="s">
        <v>438</v>
      </c>
      <c r="G455" s="329" t="s">
        <v>684</v>
      </c>
      <c r="H455" s="327">
        <v>12740</v>
      </c>
    </row>
    <row r="456" spans="2:8" x14ac:dyDescent="0.25">
      <c r="B456" s="330" t="s">
        <v>244</v>
      </c>
      <c r="C456" s="326">
        <v>3</v>
      </c>
      <c r="D456" s="327" t="s">
        <v>684</v>
      </c>
      <c r="E456" s="328"/>
      <c r="F456" s="330" t="s">
        <v>439</v>
      </c>
      <c r="G456" s="329" t="s">
        <v>684</v>
      </c>
      <c r="H456" s="327">
        <v>8414.3541811200012</v>
      </c>
    </row>
    <row r="457" spans="2:8" x14ac:dyDescent="0.25">
      <c r="B457" s="331" t="s">
        <v>740</v>
      </c>
      <c r="C457" s="332">
        <v>3</v>
      </c>
      <c r="D457" s="333" t="s">
        <v>684</v>
      </c>
      <c r="E457" s="334"/>
      <c r="F457" s="331" t="s">
        <v>435</v>
      </c>
      <c r="G457" s="335">
        <v>0</v>
      </c>
      <c r="H457" s="333">
        <v>87586.354181119998</v>
      </c>
    </row>
    <row r="458" spans="2:8" x14ac:dyDescent="0.25">
      <c r="B458" s="320" t="s">
        <v>317</v>
      </c>
      <c r="C458" s="321"/>
      <c r="D458" s="322"/>
      <c r="E458" s="323"/>
      <c r="F458" s="320" t="s">
        <v>317</v>
      </c>
      <c r="G458" s="324"/>
      <c r="H458" s="322"/>
    </row>
    <row r="459" spans="2:8" x14ac:dyDescent="0.25">
      <c r="B459" s="325" t="s">
        <v>46</v>
      </c>
      <c r="C459" s="326">
        <v>0</v>
      </c>
      <c r="D459" s="327" t="s">
        <v>684</v>
      </c>
      <c r="E459" s="328"/>
      <c r="F459" s="325" t="s">
        <v>437</v>
      </c>
      <c r="G459" s="329">
        <v>105854.71176470589</v>
      </c>
      <c r="H459" s="327">
        <v>87192</v>
      </c>
    </row>
    <row r="460" spans="2:8" x14ac:dyDescent="0.25">
      <c r="B460" s="325" t="s">
        <v>18</v>
      </c>
      <c r="C460" s="326">
        <v>5</v>
      </c>
      <c r="D460" s="327">
        <v>120880.42352941178</v>
      </c>
      <c r="E460" s="328"/>
      <c r="F460" s="325" t="s">
        <v>438</v>
      </c>
      <c r="G460" s="329">
        <v>12740</v>
      </c>
      <c r="H460" s="327">
        <v>12740</v>
      </c>
    </row>
    <row r="461" spans="2:8" x14ac:dyDescent="0.25">
      <c r="B461" s="330" t="s">
        <v>244</v>
      </c>
      <c r="C461" s="326">
        <v>2</v>
      </c>
      <c r="D461" s="327" t="s">
        <v>684</v>
      </c>
      <c r="E461" s="328"/>
      <c r="F461" s="330" t="s">
        <v>439</v>
      </c>
      <c r="G461" s="329">
        <v>15708.927314428984</v>
      </c>
      <c r="H461" s="327">
        <v>11043.839862720002</v>
      </c>
    </row>
    <row r="462" spans="2:8" x14ac:dyDescent="0.25">
      <c r="B462" s="331" t="s">
        <v>740</v>
      </c>
      <c r="C462" s="332">
        <v>7</v>
      </c>
      <c r="D462" s="333">
        <v>105854.71176470589</v>
      </c>
      <c r="E462" s="334"/>
      <c r="F462" s="331" t="s">
        <v>435</v>
      </c>
      <c r="G462" s="335">
        <v>134303.63907913488</v>
      </c>
      <c r="H462" s="333">
        <v>110975.83986272001</v>
      </c>
    </row>
    <row r="463" spans="2:8" x14ac:dyDescent="0.25">
      <c r="B463" s="320" t="s">
        <v>318</v>
      </c>
      <c r="C463" s="321"/>
      <c r="D463" s="322"/>
      <c r="E463" s="323"/>
      <c r="F463" s="320" t="s">
        <v>318</v>
      </c>
      <c r="G463" s="324"/>
      <c r="H463" s="322"/>
    </row>
    <row r="464" spans="2:8" x14ac:dyDescent="0.25">
      <c r="B464" s="325" t="s">
        <v>46</v>
      </c>
      <c r="C464" s="326">
        <v>2</v>
      </c>
      <c r="D464" s="327" t="s">
        <v>684</v>
      </c>
      <c r="E464" s="328"/>
      <c r="F464" s="325" t="s">
        <v>437</v>
      </c>
      <c r="G464" s="329">
        <v>88699.837089463137</v>
      </c>
      <c r="H464" s="327">
        <v>79002</v>
      </c>
    </row>
    <row r="465" spans="2:8" x14ac:dyDescent="0.25">
      <c r="B465" s="325" t="s">
        <v>18</v>
      </c>
      <c r="C465" s="326">
        <v>12</v>
      </c>
      <c r="D465" s="327">
        <v>81537.511268389382</v>
      </c>
      <c r="E465" s="328"/>
      <c r="F465" s="325" t="s">
        <v>438</v>
      </c>
      <c r="G465" s="329">
        <v>12740</v>
      </c>
      <c r="H465" s="327">
        <v>12740</v>
      </c>
    </row>
    <row r="466" spans="2:8" x14ac:dyDescent="0.25">
      <c r="B466" s="330" t="s">
        <v>244</v>
      </c>
      <c r="C466" s="326">
        <v>5</v>
      </c>
      <c r="D466" s="327">
        <v>104000</v>
      </c>
      <c r="E466" s="328"/>
      <c r="F466" s="330" t="s">
        <v>439</v>
      </c>
      <c r="G466" s="329">
        <v>9745.9874352844599</v>
      </c>
      <c r="H466" s="327">
        <v>10006.484962320001</v>
      </c>
    </row>
    <row r="467" spans="2:8" x14ac:dyDescent="0.25">
      <c r="B467" s="331" t="s">
        <v>740</v>
      </c>
      <c r="C467" s="332">
        <v>19</v>
      </c>
      <c r="D467" s="333">
        <v>88699.837089463137</v>
      </c>
      <c r="E467" s="334"/>
      <c r="F467" s="331" t="s">
        <v>435</v>
      </c>
      <c r="G467" s="335">
        <v>111185.8245247476</v>
      </c>
      <c r="H467" s="333">
        <v>101748.48496232</v>
      </c>
    </row>
    <row r="468" spans="2:8" x14ac:dyDescent="0.25">
      <c r="B468" s="320" t="s">
        <v>319</v>
      </c>
      <c r="C468" s="321"/>
      <c r="D468" s="322"/>
      <c r="E468" s="323"/>
      <c r="F468" s="320" t="s">
        <v>319</v>
      </c>
      <c r="G468" s="324"/>
      <c r="H468" s="322"/>
    </row>
    <row r="469" spans="2:8" x14ac:dyDescent="0.25">
      <c r="B469" s="325" t="s">
        <v>46</v>
      </c>
      <c r="C469" s="326">
        <v>0</v>
      </c>
      <c r="D469" s="327" t="s">
        <v>684</v>
      </c>
      <c r="E469" s="328"/>
      <c r="F469" s="325" t="s">
        <v>437</v>
      </c>
      <c r="G469" s="329">
        <v>92201.226770549532</v>
      </c>
      <c r="H469" s="327">
        <v>69864</v>
      </c>
    </row>
    <row r="470" spans="2:8" x14ac:dyDescent="0.25">
      <c r="B470" s="325" t="s">
        <v>18</v>
      </c>
      <c r="C470" s="326">
        <v>12</v>
      </c>
      <c r="D470" s="327">
        <v>86073.297297847428</v>
      </c>
      <c r="E470" s="328"/>
      <c r="F470" s="325" t="s">
        <v>438</v>
      </c>
      <c r="G470" s="329">
        <v>12740</v>
      </c>
      <c r="H470" s="327">
        <v>12740</v>
      </c>
    </row>
    <row r="471" spans="2:8" x14ac:dyDescent="0.25">
      <c r="B471" s="330" t="s">
        <v>244</v>
      </c>
      <c r="C471" s="326">
        <v>4</v>
      </c>
      <c r="D471" s="327" t="s">
        <v>684</v>
      </c>
      <c r="E471" s="328"/>
      <c r="F471" s="330" t="s">
        <v>439</v>
      </c>
      <c r="G471" s="329">
        <v>10653.142604844365</v>
      </c>
      <c r="H471" s="327">
        <v>8849.0552822400005</v>
      </c>
    </row>
    <row r="472" spans="2:8" x14ac:dyDescent="0.25">
      <c r="B472" s="331" t="s">
        <v>740</v>
      </c>
      <c r="C472" s="332">
        <v>16</v>
      </c>
      <c r="D472" s="333">
        <v>92201.226770549532</v>
      </c>
      <c r="E472" s="334"/>
      <c r="F472" s="331" t="s">
        <v>435</v>
      </c>
      <c r="G472" s="335">
        <v>115594.3693753939</v>
      </c>
      <c r="H472" s="333">
        <v>91453.055282240006</v>
      </c>
    </row>
    <row r="473" spans="2:8" x14ac:dyDescent="0.25">
      <c r="B473" s="320" t="s">
        <v>320</v>
      </c>
      <c r="C473" s="321"/>
      <c r="D473" s="322"/>
      <c r="E473" s="323"/>
      <c r="F473" s="320" t="s">
        <v>320</v>
      </c>
      <c r="G473" s="324"/>
      <c r="H473" s="322"/>
    </row>
    <row r="474" spans="2:8" x14ac:dyDescent="0.25">
      <c r="B474" s="325" t="s">
        <v>46</v>
      </c>
      <c r="C474" s="326">
        <v>0</v>
      </c>
      <c r="D474" s="327" t="s">
        <v>684</v>
      </c>
      <c r="E474" s="328"/>
      <c r="F474" s="325" t="s">
        <v>437</v>
      </c>
      <c r="G474" s="329">
        <v>96258.065284953351</v>
      </c>
      <c r="H474" s="327">
        <v>69864</v>
      </c>
    </row>
    <row r="475" spans="2:8" x14ac:dyDescent="0.25">
      <c r="B475" s="325" t="s">
        <v>18</v>
      </c>
      <c r="C475" s="326">
        <v>11</v>
      </c>
      <c r="D475" s="327">
        <v>89539.152735229756</v>
      </c>
      <c r="E475" s="328"/>
      <c r="F475" s="325" t="s">
        <v>438</v>
      </c>
      <c r="G475" s="329">
        <v>12740</v>
      </c>
      <c r="H475" s="327">
        <v>12740</v>
      </c>
    </row>
    <row r="476" spans="2:8" x14ac:dyDescent="0.25">
      <c r="B476" s="330" t="s">
        <v>244</v>
      </c>
      <c r="C476" s="326">
        <v>4</v>
      </c>
      <c r="D476" s="327" t="s">
        <v>684</v>
      </c>
      <c r="E476" s="328"/>
      <c r="F476" s="330" t="s">
        <v>439</v>
      </c>
      <c r="G476" s="329">
        <v>11282.831523953295</v>
      </c>
      <c r="H476" s="327">
        <v>8849.0552822400005</v>
      </c>
    </row>
    <row r="477" spans="2:8" x14ac:dyDescent="0.25">
      <c r="B477" s="331" t="s">
        <v>740</v>
      </c>
      <c r="C477" s="332">
        <v>15</v>
      </c>
      <c r="D477" s="333">
        <v>96258.065284953351</v>
      </c>
      <c r="E477" s="334"/>
      <c r="F477" s="331" t="s">
        <v>435</v>
      </c>
      <c r="G477" s="335">
        <v>120280.89680890665</v>
      </c>
      <c r="H477" s="333">
        <v>91453.055282240006</v>
      </c>
    </row>
    <row r="478" spans="2:8" x14ac:dyDescent="0.25">
      <c r="B478" s="320" t="s">
        <v>321</v>
      </c>
      <c r="C478" s="321"/>
      <c r="D478" s="322"/>
      <c r="E478" s="323"/>
      <c r="F478" s="320" t="s">
        <v>321</v>
      </c>
      <c r="G478" s="324"/>
      <c r="H478" s="322"/>
    </row>
    <row r="479" spans="2:8" x14ac:dyDescent="0.25">
      <c r="B479" s="325" t="s">
        <v>46</v>
      </c>
      <c r="C479" s="326">
        <v>0</v>
      </c>
      <c r="D479" s="327" t="s">
        <v>684</v>
      </c>
      <c r="E479" s="328"/>
      <c r="F479" s="325" t="s">
        <v>437</v>
      </c>
      <c r="G479" s="329">
        <v>72300</v>
      </c>
      <c r="H479" s="327">
        <v>58734</v>
      </c>
    </row>
    <row r="480" spans="2:8" x14ac:dyDescent="0.25">
      <c r="B480" s="325" t="s">
        <v>18</v>
      </c>
      <c r="C480" s="326">
        <v>0</v>
      </c>
      <c r="D480" s="327" t="s">
        <v>684</v>
      </c>
      <c r="E480" s="328"/>
      <c r="F480" s="325" t="s">
        <v>438</v>
      </c>
      <c r="G480" s="329">
        <v>12740</v>
      </c>
      <c r="H480" s="327">
        <v>12740</v>
      </c>
    </row>
    <row r="481" spans="2:8" x14ac:dyDescent="0.25">
      <c r="B481" s="330" t="s">
        <v>244</v>
      </c>
      <c r="C481" s="326">
        <v>5</v>
      </c>
      <c r="D481" s="327">
        <v>72300</v>
      </c>
      <c r="E481" s="328"/>
      <c r="F481" s="330" t="s">
        <v>439</v>
      </c>
      <c r="G481" s="329">
        <v>2892</v>
      </c>
      <c r="H481" s="327">
        <v>7439.3165714400011</v>
      </c>
    </row>
    <row r="482" spans="2:8" x14ac:dyDescent="0.25">
      <c r="B482" s="331" t="s">
        <v>740</v>
      </c>
      <c r="C482" s="332">
        <v>5</v>
      </c>
      <c r="D482" s="333">
        <v>72300</v>
      </c>
      <c r="E482" s="334"/>
      <c r="F482" s="331" t="s">
        <v>435</v>
      </c>
      <c r="G482" s="335">
        <v>87932</v>
      </c>
      <c r="H482" s="333">
        <v>78913.316571439995</v>
      </c>
    </row>
    <row r="483" spans="2:8" x14ac:dyDescent="0.25">
      <c r="B483" s="320" t="s">
        <v>322</v>
      </c>
      <c r="C483" s="321"/>
      <c r="D483" s="322"/>
      <c r="E483" s="323"/>
      <c r="F483" s="320" t="s">
        <v>322</v>
      </c>
      <c r="G483" s="324"/>
      <c r="H483" s="322"/>
    </row>
    <row r="484" spans="2:8" x14ac:dyDescent="0.25">
      <c r="B484" s="325" t="s">
        <v>46</v>
      </c>
      <c r="C484" s="326">
        <v>0</v>
      </c>
      <c r="D484" s="327" t="s">
        <v>684</v>
      </c>
      <c r="E484" s="328"/>
      <c r="F484" s="325" t="s">
        <v>437</v>
      </c>
      <c r="G484" s="329">
        <v>90662.349823750163</v>
      </c>
      <c r="H484" s="327">
        <v>80970</v>
      </c>
    </row>
    <row r="485" spans="2:8" x14ac:dyDescent="0.25">
      <c r="B485" s="325" t="s">
        <v>18</v>
      </c>
      <c r="C485" s="326">
        <v>10</v>
      </c>
      <c r="D485" s="327">
        <v>87055.560399028502</v>
      </c>
      <c r="E485" s="328"/>
      <c r="F485" s="325" t="s">
        <v>438</v>
      </c>
      <c r="G485" s="329">
        <v>12740</v>
      </c>
      <c r="H485" s="327">
        <v>12740</v>
      </c>
    </row>
    <row r="486" spans="2:8" x14ac:dyDescent="0.25">
      <c r="B486" s="330" t="s">
        <v>244</v>
      </c>
      <c r="C486" s="326">
        <v>4</v>
      </c>
      <c r="D486" s="327" t="s">
        <v>684</v>
      </c>
      <c r="E486" s="328"/>
      <c r="F486" s="330" t="s">
        <v>439</v>
      </c>
      <c r="G486" s="329">
        <v>10389.124807802718</v>
      </c>
      <c r="H486" s="327">
        <v>10255.754125200001</v>
      </c>
    </row>
    <row r="487" spans="2:8" x14ac:dyDescent="0.25">
      <c r="B487" s="331" t="s">
        <v>740</v>
      </c>
      <c r="C487" s="332">
        <v>14</v>
      </c>
      <c r="D487" s="333">
        <v>90662.349823750163</v>
      </c>
      <c r="E487" s="334"/>
      <c r="F487" s="331" t="s">
        <v>435</v>
      </c>
      <c r="G487" s="335">
        <v>113791.47463155288</v>
      </c>
      <c r="H487" s="333">
        <v>103965.75412520001</v>
      </c>
    </row>
    <row r="488" spans="2:8" x14ac:dyDescent="0.25">
      <c r="B488" s="320" t="s">
        <v>323</v>
      </c>
      <c r="C488" s="321"/>
      <c r="D488" s="322"/>
      <c r="E488" s="323"/>
      <c r="F488" s="320" t="s">
        <v>323</v>
      </c>
      <c r="G488" s="324"/>
      <c r="H488" s="322"/>
    </row>
    <row r="489" spans="2:8" x14ac:dyDescent="0.25">
      <c r="B489" s="325" t="s">
        <v>46</v>
      </c>
      <c r="C489" s="326">
        <v>0</v>
      </c>
      <c r="D489" s="327" t="s">
        <v>684</v>
      </c>
      <c r="E489" s="328"/>
      <c r="F489" s="325" t="s">
        <v>437</v>
      </c>
      <c r="G489" s="329" t="s">
        <v>684</v>
      </c>
      <c r="H489" s="327">
        <v>79002</v>
      </c>
    </row>
    <row r="490" spans="2:8" x14ac:dyDescent="0.25">
      <c r="B490" s="325" t="s">
        <v>18</v>
      </c>
      <c r="C490" s="326">
        <v>0</v>
      </c>
      <c r="D490" s="327" t="s">
        <v>684</v>
      </c>
      <c r="E490" s="328"/>
      <c r="F490" s="325" t="s">
        <v>438</v>
      </c>
      <c r="G490" s="329" t="s">
        <v>684</v>
      </c>
      <c r="H490" s="327">
        <v>12740</v>
      </c>
    </row>
    <row r="491" spans="2:8" x14ac:dyDescent="0.25">
      <c r="B491" s="330" t="s">
        <v>244</v>
      </c>
      <c r="C491" s="326">
        <v>3</v>
      </c>
      <c r="D491" s="327" t="s">
        <v>684</v>
      </c>
      <c r="E491" s="328"/>
      <c r="F491" s="330" t="s">
        <v>439</v>
      </c>
      <c r="G491" s="329" t="s">
        <v>684</v>
      </c>
      <c r="H491" s="327">
        <v>10006.484962320001</v>
      </c>
    </row>
    <row r="492" spans="2:8" x14ac:dyDescent="0.25">
      <c r="B492" s="331" t="s">
        <v>740</v>
      </c>
      <c r="C492" s="332">
        <v>3</v>
      </c>
      <c r="D492" s="333" t="s">
        <v>684</v>
      </c>
      <c r="E492" s="334"/>
      <c r="F492" s="331" t="s">
        <v>435</v>
      </c>
      <c r="G492" s="335">
        <v>0</v>
      </c>
      <c r="H492" s="333">
        <v>101748.48496232</v>
      </c>
    </row>
    <row r="493" spans="2:8" x14ac:dyDescent="0.25">
      <c r="B493" s="320" t="s">
        <v>591</v>
      </c>
      <c r="C493" s="321"/>
      <c r="D493" s="322"/>
      <c r="E493" s="323"/>
      <c r="F493" s="320" t="s">
        <v>591</v>
      </c>
      <c r="G493" s="324"/>
      <c r="H493" s="322"/>
    </row>
    <row r="494" spans="2:8" x14ac:dyDescent="0.25">
      <c r="B494" s="325" t="s">
        <v>46</v>
      </c>
      <c r="C494" s="326">
        <v>0</v>
      </c>
      <c r="D494" s="327" t="s">
        <v>684</v>
      </c>
      <c r="E494" s="328"/>
      <c r="F494" s="325" t="s">
        <v>437</v>
      </c>
      <c r="G494" s="329" t="s">
        <v>684</v>
      </c>
      <c r="H494" s="327">
        <v>43914</v>
      </c>
    </row>
    <row r="495" spans="2:8" x14ac:dyDescent="0.25">
      <c r="B495" s="325" t="s">
        <v>18</v>
      </c>
      <c r="C495" s="326">
        <v>0</v>
      </c>
      <c r="D495" s="327" t="s">
        <v>684</v>
      </c>
      <c r="E495" s="328"/>
      <c r="F495" s="325" t="s">
        <v>438</v>
      </c>
      <c r="G495" s="329" t="s">
        <v>684</v>
      </c>
      <c r="H495" s="327">
        <v>12740</v>
      </c>
    </row>
    <row r="496" spans="2:8" x14ac:dyDescent="0.25">
      <c r="B496" s="330" t="s">
        <v>244</v>
      </c>
      <c r="C496" s="326">
        <v>3</v>
      </c>
      <c r="D496" s="327" t="s">
        <v>684</v>
      </c>
      <c r="E496" s="328"/>
      <c r="F496" s="330" t="s">
        <v>439</v>
      </c>
      <c r="G496" s="329" t="s">
        <v>684</v>
      </c>
      <c r="H496" s="327">
        <v>5562.1981802400005</v>
      </c>
    </row>
    <row r="497" spans="2:8" x14ac:dyDescent="0.25">
      <c r="B497" s="331" t="s">
        <v>740</v>
      </c>
      <c r="C497" s="332">
        <v>3</v>
      </c>
      <c r="D497" s="333" t="s">
        <v>684</v>
      </c>
      <c r="E497" s="334"/>
      <c r="F497" s="331" t="s">
        <v>435</v>
      </c>
      <c r="G497" s="335">
        <v>0</v>
      </c>
      <c r="H497" s="333">
        <v>62216.198180239997</v>
      </c>
    </row>
    <row r="498" spans="2:8" x14ac:dyDescent="0.25">
      <c r="B498" s="320" t="s">
        <v>324</v>
      </c>
      <c r="C498" s="321"/>
      <c r="D498" s="322"/>
      <c r="E498" s="323"/>
      <c r="F498" s="320" t="s">
        <v>324</v>
      </c>
      <c r="G498" s="324"/>
      <c r="H498" s="322"/>
    </row>
    <row r="499" spans="2:8" x14ac:dyDescent="0.25">
      <c r="B499" s="325" t="s">
        <v>46</v>
      </c>
      <c r="C499" s="326">
        <v>2</v>
      </c>
      <c r="D499" s="327" t="s">
        <v>684</v>
      </c>
      <c r="E499" s="328"/>
      <c r="F499" s="325" t="s">
        <v>437</v>
      </c>
      <c r="G499" s="329">
        <v>77610.504000000001</v>
      </c>
      <c r="H499" s="327">
        <v>63258</v>
      </c>
    </row>
    <row r="500" spans="2:8" x14ac:dyDescent="0.25">
      <c r="B500" s="325" t="s">
        <v>18</v>
      </c>
      <c r="C500" s="326">
        <v>0</v>
      </c>
      <c r="D500" s="327" t="s">
        <v>684</v>
      </c>
      <c r="E500" s="328"/>
      <c r="F500" s="325" t="s">
        <v>438</v>
      </c>
      <c r="G500" s="329">
        <v>12740</v>
      </c>
      <c r="H500" s="327">
        <v>12740</v>
      </c>
    </row>
    <row r="501" spans="2:8" x14ac:dyDescent="0.25">
      <c r="B501" s="330" t="s">
        <v>244</v>
      </c>
      <c r="C501" s="326">
        <v>5</v>
      </c>
      <c r="D501" s="327">
        <v>71900</v>
      </c>
      <c r="E501" s="328"/>
      <c r="F501" s="330" t="s">
        <v>439</v>
      </c>
      <c r="G501" s="329">
        <v>3096.7039999999997</v>
      </c>
      <c r="H501" s="327">
        <v>8012.3316592800011</v>
      </c>
    </row>
    <row r="502" spans="2:8" x14ac:dyDescent="0.25">
      <c r="B502" s="331" t="s">
        <v>740</v>
      </c>
      <c r="C502" s="332">
        <v>7</v>
      </c>
      <c r="D502" s="333">
        <v>77610.504000000001</v>
      </c>
      <c r="E502" s="334"/>
      <c r="F502" s="331" t="s">
        <v>435</v>
      </c>
      <c r="G502" s="335">
        <v>93447.207999999999</v>
      </c>
      <c r="H502" s="333">
        <v>84010.331659279997</v>
      </c>
    </row>
    <row r="503" spans="2:8" x14ac:dyDescent="0.25">
      <c r="B503" s="320" t="s">
        <v>325</v>
      </c>
      <c r="C503" s="321"/>
      <c r="D503" s="322"/>
      <c r="E503" s="323"/>
      <c r="F503" s="320" t="s">
        <v>325</v>
      </c>
      <c r="G503" s="324"/>
      <c r="H503" s="322"/>
    </row>
    <row r="504" spans="2:8" x14ac:dyDescent="0.25">
      <c r="B504" s="325" t="s">
        <v>46</v>
      </c>
      <c r="C504" s="326">
        <v>0</v>
      </c>
      <c r="D504" s="327" t="s">
        <v>684</v>
      </c>
      <c r="E504" s="328"/>
      <c r="F504" s="325" t="s">
        <v>437</v>
      </c>
      <c r="G504" s="329" t="s">
        <v>684</v>
      </c>
      <c r="H504" s="327">
        <v>45012</v>
      </c>
    </row>
    <row r="505" spans="2:8" x14ac:dyDescent="0.25">
      <c r="B505" s="325" t="s">
        <v>18</v>
      </c>
      <c r="C505" s="326">
        <v>0</v>
      </c>
      <c r="D505" s="327" t="s">
        <v>684</v>
      </c>
      <c r="E505" s="328"/>
      <c r="F505" s="325" t="s">
        <v>438</v>
      </c>
      <c r="G505" s="329" t="s">
        <v>684</v>
      </c>
      <c r="H505" s="327">
        <v>12740</v>
      </c>
    </row>
    <row r="506" spans="2:8" x14ac:dyDescent="0.25">
      <c r="B506" s="330" t="s">
        <v>244</v>
      </c>
      <c r="C506" s="326">
        <v>4</v>
      </c>
      <c r="D506" s="327" t="s">
        <v>684</v>
      </c>
      <c r="E506" s="328"/>
      <c r="F506" s="330" t="s">
        <v>439</v>
      </c>
      <c r="G506" s="329" t="s">
        <v>684</v>
      </c>
      <c r="H506" s="327">
        <v>5701.2721339200007</v>
      </c>
    </row>
    <row r="507" spans="2:8" x14ac:dyDescent="0.25">
      <c r="B507" s="331" t="s">
        <v>740</v>
      </c>
      <c r="C507" s="332">
        <v>4</v>
      </c>
      <c r="D507" s="333" t="s">
        <v>684</v>
      </c>
      <c r="E507" s="334"/>
      <c r="F507" s="331" t="s">
        <v>435</v>
      </c>
      <c r="G507" s="335">
        <v>0</v>
      </c>
      <c r="H507" s="333">
        <v>63453.27213392</v>
      </c>
    </row>
    <row r="508" spans="2:8" x14ac:dyDescent="0.25">
      <c r="B508" s="320" t="s">
        <v>326</v>
      </c>
      <c r="C508" s="321"/>
      <c r="D508" s="322"/>
      <c r="E508" s="323"/>
      <c r="F508" s="320" t="s">
        <v>326</v>
      </c>
      <c r="G508" s="324"/>
      <c r="H508" s="322"/>
    </row>
    <row r="509" spans="2:8" x14ac:dyDescent="0.25">
      <c r="B509" s="325" t="s">
        <v>46</v>
      </c>
      <c r="C509" s="326">
        <v>0</v>
      </c>
      <c r="D509" s="327" t="s">
        <v>684</v>
      </c>
      <c r="E509" s="328"/>
      <c r="F509" s="325" t="s">
        <v>437</v>
      </c>
      <c r="G509" s="329" t="s">
        <v>684</v>
      </c>
      <c r="H509" s="327">
        <v>61710</v>
      </c>
    </row>
    <row r="510" spans="2:8" x14ac:dyDescent="0.25">
      <c r="B510" s="325" t="s">
        <v>18</v>
      </c>
      <c r="C510" s="326">
        <v>1</v>
      </c>
      <c r="D510" s="327" t="s">
        <v>684</v>
      </c>
      <c r="E510" s="328"/>
      <c r="F510" s="325" t="s">
        <v>438</v>
      </c>
      <c r="G510" s="329" t="s">
        <v>684</v>
      </c>
      <c r="H510" s="327">
        <v>12740</v>
      </c>
    </row>
    <row r="511" spans="2:8" x14ac:dyDescent="0.25">
      <c r="B511" s="330" t="s">
        <v>244</v>
      </c>
      <c r="C511" s="326">
        <v>3</v>
      </c>
      <c r="D511" s="327" t="s">
        <v>684</v>
      </c>
      <c r="E511" s="328"/>
      <c r="F511" s="330" t="s">
        <v>439</v>
      </c>
      <c r="G511" s="329" t="s">
        <v>684</v>
      </c>
      <c r="H511" s="327">
        <v>7816.2601836000003</v>
      </c>
    </row>
    <row r="512" spans="2:8" x14ac:dyDescent="0.25">
      <c r="B512" s="331" t="s">
        <v>740</v>
      </c>
      <c r="C512" s="332">
        <v>4</v>
      </c>
      <c r="D512" s="333" t="s">
        <v>684</v>
      </c>
      <c r="E512" s="334"/>
      <c r="F512" s="331" t="s">
        <v>435</v>
      </c>
      <c r="G512" s="335">
        <v>0</v>
      </c>
      <c r="H512" s="333">
        <v>82266.260183599996</v>
      </c>
    </row>
    <row r="513" spans="2:8" x14ac:dyDescent="0.25">
      <c r="B513" s="320" t="s">
        <v>327</v>
      </c>
      <c r="C513" s="321"/>
      <c r="D513" s="322"/>
      <c r="E513" s="323"/>
      <c r="F513" s="320" t="s">
        <v>327</v>
      </c>
      <c r="G513" s="324"/>
      <c r="H513" s="322"/>
    </row>
    <row r="514" spans="2:8" x14ac:dyDescent="0.25">
      <c r="B514" s="325" t="s">
        <v>46</v>
      </c>
      <c r="C514" s="326">
        <v>0</v>
      </c>
      <c r="D514" s="327" t="s">
        <v>684</v>
      </c>
      <c r="E514" s="328"/>
      <c r="F514" s="325" t="s">
        <v>437</v>
      </c>
      <c r="G514" s="329">
        <v>75385.599239142815</v>
      </c>
      <c r="H514" s="327">
        <v>61710</v>
      </c>
    </row>
    <row r="515" spans="2:8" x14ac:dyDescent="0.25">
      <c r="B515" s="325" t="s">
        <v>18</v>
      </c>
      <c r="C515" s="326">
        <v>4</v>
      </c>
      <c r="D515" s="327" t="s">
        <v>684</v>
      </c>
      <c r="E515" s="328"/>
      <c r="F515" s="325" t="s">
        <v>438</v>
      </c>
      <c r="G515" s="329">
        <v>12740</v>
      </c>
      <c r="H515" s="327">
        <v>12740</v>
      </c>
    </row>
    <row r="516" spans="2:8" x14ac:dyDescent="0.25">
      <c r="B516" s="330" t="s">
        <v>244</v>
      </c>
      <c r="C516" s="326">
        <v>3</v>
      </c>
      <c r="D516" s="327" t="s">
        <v>684</v>
      </c>
      <c r="E516" s="328"/>
      <c r="F516" s="330" t="s">
        <v>439</v>
      </c>
      <c r="G516" s="329">
        <v>9225.3603991165619</v>
      </c>
      <c r="H516" s="327">
        <v>7816.2601836000003</v>
      </c>
    </row>
    <row r="517" spans="2:8" x14ac:dyDescent="0.25">
      <c r="B517" s="331" t="s">
        <v>740</v>
      </c>
      <c r="C517" s="332">
        <v>7</v>
      </c>
      <c r="D517" s="333">
        <v>75385.599239142815</v>
      </c>
      <c r="E517" s="334"/>
      <c r="F517" s="331" t="s">
        <v>435</v>
      </c>
      <c r="G517" s="335">
        <v>97350.959638259374</v>
      </c>
      <c r="H517" s="333">
        <v>82266.260183599996</v>
      </c>
    </row>
    <row r="518" spans="2:8" x14ac:dyDescent="0.25">
      <c r="B518" s="320" t="s">
        <v>328</v>
      </c>
      <c r="C518" s="321"/>
      <c r="D518" s="322"/>
      <c r="E518" s="323"/>
      <c r="F518" s="320" t="s">
        <v>328</v>
      </c>
      <c r="G518" s="324"/>
      <c r="H518" s="322"/>
    </row>
    <row r="519" spans="2:8" x14ac:dyDescent="0.25">
      <c r="B519" s="325" t="s">
        <v>46</v>
      </c>
      <c r="C519" s="326">
        <v>0</v>
      </c>
      <c r="D519" s="327" t="s">
        <v>684</v>
      </c>
      <c r="E519" s="328"/>
      <c r="F519" s="325" t="s">
        <v>437</v>
      </c>
      <c r="G519" s="329">
        <v>88873.965116279069</v>
      </c>
      <c r="H519" s="327">
        <v>54582</v>
      </c>
    </row>
    <row r="520" spans="2:8" x14ac:dyDescent="0.25">
      <c r="B520" s="325" t="s">
        <v>18</v>
      </c>
      <c r="C520" s="326">
        <v>1</v>
      </c>
      <c r="D520" s="327" t="s">
        <v>684</v>
      </c>
      <c r="E520" s="328"/>
      <c r="F520" s="325" t="s">
        <v>438</v>
      </c>
      <c r="G520" s="329">
        <v>12740</v>
      </c>
      <c r="H520" s="327">
        <v>12740</v>
      </c>
    </row>
    <row r="521" spans="2:8" x14ac:dyDescent="0.25">
      <c r="B521" s="330" t="s">
        <v>244</v>
      </c>
      <c r="C521" s="326">
        <v>4</v>
      </c>
      <c r="D521" s="327" t="s">
        <v>684</v>
      </c>
      <c r="E521" s="328"/>
      <c r="F521" s="330" t="s">
        <v>439</v>
      </c>
      <c r="G521" s="329">
        <v>2116</v>
      </c>
      <c r="H521" s="327">
        <v>6913.4194351200013</v>
      </c>
    </row>
    <row r="522" spans="2:8" x14ac:dyDescent="0.25">
      <c r="B522" s="331" t="s">
        <v>740</v>
      </c>
      <c r="C522" s="332">
        <v>5</v>
      </c>
      <c r="D522" s="333">
        <v>88873.965116279069</v>
      </c>
      <c r="E522" s="334"/>
      <c r="F522" s="331" t="s">
        <v>435</v>
      </c>
      <c r="G522" s="335">
        <v>103729.96511627907</v>
      </c>
      <c r="H522" s="333">
        <v>74235.419435119999</v>
      </c>
    </row>
    <row r="523" spans="2:8" x14ac:dyDescent="0.25">
      <c r="B523" s="320" t="s">
        <v>329</v>
      </c>
      <c r="C523" s="321"/>
      <c r="D523" s="322"/>
      <c r="E523" s="323"/>
      <c r="F523" s="320" t="s">
        <v>329</v>
      </c>
      <c r="G523" s="324"/>
      <c r="H523" s="322"/>
    </row>
    <row r="524" spans="2:8" x14ac:dyDescent="0.25">
      <c r="B524" s="325" t="s">
        <v>46</v>
      </c>
      <c r="C524" s="326">
        <v>0</v>
      </c>
      <c r="D524" s="327" t="s">
        <v>684</v>
      </c>
      <c r="E524" s="328"/>
      <c r="F524" s="325" t="s">
        <v>437</v>
      </c>
      <c r="G524" s="329" t="s">
        <v>684</v>
      </c>
      <c r="H524" s="327">
        <v>60228</v>
      </c>
    </row>
    <row r="525" spans="2:8" x14ac:dyDescent="0.25">
      <c r="B525" s="325" t="s">
        <v>18</v>
      </c>
      <c r="C525" s="326">
        <v>0</v>
      </c>
      <c r="D525" s="327" t="s">
        <v>684</v>
      </c>
      <c r="E525" s="328"/>
      <c r="F525" s="325" t="s">
        <v>438</v>
      </c>
      <c r="G525" s="329" t="s">
        <v>684</v>
      </c>
      <c r="H525" s="327">
        <v>12740</v>
      </c>
    </row>
    <row r="526" spans="2:8" x14ac:dyDescent="0.25">
      <c r="B526" s="330" t="s">
        <v>244</v>
      </c>
      <c r="C526" s="326">
        <v>3</v>
      </c>
      <c r="D526" s="327" t="s">
        <v>684</v>
      </c>
      <c r="E526" s="328"/>
      <c r="F526" s="330" t="s">
        <v>439</v>
      </c>
      <c r="G526" s="329" t="s">
        <v>684</v>
      </c>
      <c r="H526" s="327">
        <v>7628.5483444800002</v>
      </c>
    </row>
    <row r="527" spans="2:8" x14ac:dyDescent="0.25">
      <c r="B527" s="331" t="s">
        <v>740</v>
      </c>
      <c r="C527" s="332">
        <v>3</v>
      </c>
      <c r="D527" s="333" t="s">
        <v>684</v>
      </c>
      <c r="E527" s="334"/>
      <c r="F527" s="331" t="s">
        <v>435</v>
      </c>
      <c r="G527" s="335">
        <v>0</v>
      </c>
      <c r="H527" s="333">
        <v>80596.548344480005</v>
      </c>
    </row>
    <row r="528" spans="2:8" x14ac:dyDescent="0.25">
      <c r="B528" s="320" t="s">
        <v>330</v>
      </c>
      <c r="C528" s="321"/>
      <c r="D528" s="322"/>
      <c r="E528" s="323"/>
      <c r="F528" s="320" t="s">
        <v>330</v>
      </c>
      <c r="G528" s="324"/>
      <c r="H528" s="322"/>
    </row>
    <row r="529" spans="2:8" x14ac:dyDescent="0.25">
      <c r="B529" s="325" t="s">
        <v>46</v>
      </c>
      <c r="C529" s="326">
        <v>0</v>
      </c>
      <c r="D529" s="327" t="s">
        <v>684</v>
      </c>
      <c r="E529" s="328"/>
      <c r="F529" s="325" t="s">
        <v>437</v>
      </c>
      <c r="G529" s="329" t="s">
        <v>684</v>
      </c>
      <c r="H529" s="327">
        <v>39030</v>
      </c>
    </row>
    <row r="530" spans="2:8" x14ac:dyDescent="0.25">
      <c r="B530" s="325" t="s">
        <v>18</v>
      </c>
      <c r="C530" s="326">
        <v>0</v>
      </c>
      <c r="D530" s="327" t="s">
        <v>684</v>
      </c>
      <c r="E530" s="328"/>
      <c r="F530" s="325" t="s">
        <v>438</v>
      </c>
      <c r="G530" s="329" t="s">
        <v>684</v>
      </c>
      <c r="H530" s="327">
        <v>12740</v>
      </c>
    </row>
    <row r="531" spans="2:8" x14ac:dyDescent="0.25">
      <c r="B531" s="330" t="s">
        <v>244</v>
      </c>
      <c r="C531" s="326">
        <v>3</v>
      </c>
      <c r="D531" s="327" t="s">
        <v>684</v>
      </c>
      <c r="E531" s="328"/>
      <c r="F531" s="330" t="s">
        <v>439</v>
      </c>
      <c r="G531" s="329" t="s">
        <v>684</v>
      </c>
      <c r="H531" s="327">
        <v>4943.5850748000003</v>
      </c>
    </row>
    <row r="532" spans="2:8" x14ac:dyDescent="0.25">
      <c r="B532" s="331" t="s">
        <v>740</v>
      </c>
      <c r="C532" s="332">
        <v>3</v>
      </c>
      <c r="D532" s="333" t="s">
        <v>684</v>
      </c>
      <c r="E532" s="334"/>
      <c r="F532" s="331" t="s">
        <v>435</v>
      </c>
      <c r="G532" s="335">
        <v>0</v>
      </c>
      <c r="H532" s="333">
        <v>56713.585074800001</v>
      </c>
    </row>
    <row r="533" spans="2:8" x14ac:dyDescent="0.25">
      <c r="B533" s="320" t="s">
        <v>331</v>
      </c>
      <c r="C533" s="321"/>
      <c r="D533" s="322"/>
      <c r="E533" s="323"/>
      <c r="F533" s="320" t="s">
        <v>331</v>
      </c>
      <c r="G533" s="324"/>
      <c r="H533" s="322"/>
    </row>
    <row r="534" spans="2:8" x14ac:dyDescent="0.25">
      <c r="B534" s="325" t="s">
        <v>46</v>
      </c>
      <c r="C534" s="326">
        <v>0</v>
      </c>
      <c r="D534" s="327" t="s">
        <v>684</v>
      </c>
      <c r="E534" s="328"/>
      <c r="F534" s="325" t="s">
        <v>437</v>
      </c>
      <c r="G534" s="329" t="s">
        <v>684</v>
      </c>
      <c r="H534" s="327">
        <v>47238</v>
      </c>
    </row>
    <row r="535" spans="2:8" x14ac:dyDescent="0.25">
      <c r="B535" s="325" t="s">
        <v>18</v>
      </c>
      <c r="C535" s="326">
        <v>0</v>
      </c>
      <c r="D535" s="327" t="s">
        <v>684</v>
      </c>
      <c r="E535" s="328"/>
      <c r="F535" s="325" t="s">
        <v>438</v>
      </c>
      <c r="G535" s="329" t="s">
        <v>684</v>
      </c>
      <c r="H535" s="327">
        <v>12740</v>
      </c>
    </row>
    <row r="536" spans="2:8" x14ac:dyDescent="0.25">
      <c r="B536" s="330" t="s">
        <v>244</v>
      </c>
      <c r="C536" s="326">
        <v>3</v>
      </c>
      <c r="D536" s="327" t="s">
        <v>684</v>
      </c>
      <c r="E536" s="328"/>
      <c r="F536" s="330" t="s">
        <v>439</v>
      </c>
      <c r="G536" s="329" t="s">
        <v>684</v>
      </c>
      <c r="H536" s="327">
        <v>5983.2198760800002</v>
      </c>
    </row>
    <row r="537" spans="2:8" x14ac:dyDescent="0.25">
      <c r="B537" s="331" t="s">
        <v>740</v>
      </c>
      <c r="C537" s="332">
        <v>3</v>
      </c>
      <c r="D537" s="333" t="s">
        <v>684</v>
      </c>
      <c r="E537" s="334"/>
      <c r="F537" s="331" t="s">
        <v>435</v>
      </c>
      <c r="G537" s="335">
        <v>0</v>
      </c>
      <c r="H537" s="333">
        <v>65961.219876079995</v>
      </c>
    </row>
    <row r="538" spans="2:8" x14ac:dyDescent="0.25">
      <c r="B538" s="320" t="s">
        <v>409</v>
      </c>
      <c r="C538" s="321"/>
      <c r="D538" s="322"/>
      <c r="E538" s="323"/>
      <c r="F538" s="320" t="s">
        <v>409</v>
      </c>
      <c r="G538" s="324"/>
      <c r="H538" s="322"/>
    </row>
    <row r="539" spans="2:8" x14ac:dyDescent="0.25">
      <c r="B539" s="325" t="s">
        <v>46</v>
      </c>
      <c r="C539" s="326">
        <v>1</v>
      </c>
      <c r="D539" s="327" t="s">
        <v>684</v>
      </c>
      <c r="E539" s="328"/>
      <c r="F539" s="325" t="s">
        <v>437</v>
      </c>
      <c r="G539" s="329" t="s">
        <v>684</v>
      </c>
      <c r="H539" s="327">
        <v>89364</v>
      </c>
    </row>
    <row r="540" spans="2:8" x14ac:dyDescent="0.25">
      <c r="B540" s="325" t="s">
        <v>18</v>
      </c>
      <c r="C540" s="326">
        <v>0</v>
      </c>
      <c r="D540" s="327" t="s">
        <v>684</v>
      </c>
      <c r="E540" s="328"/>
      <c r="F540" s="325" t="s">
        <v>438</v>
      </c>
      <c r="G540" s="329" t="s">
        <v>684</v>
      </c>
      <c r="H540" s="327">
        <v>12740</v>
      </c>
    </row>
    <row r="541" spans="2:8" x14ac:dyDescent="0.25">
      <c r="B541" s="330" t="s">
        <v>244</v>
      </c>
      <c r="C541" s="326">
        <v>3</v>
      </c>
      <c r="D541" s="327" t="s">
        <v>684</v>
      </c>
      <c r="E541" s="328"/>
      <c r="F541" s="330" t="s">
        <v>439</v>
      </c>
      <c r="G541" s="329" t="s">
        <v>684</v>
      </c>
      <c r="H541" s="327">
        <v>11318.947902240001</v>
      </c>
    </row>
    <row r="542" spans="2:8" x14ac:dyDescent="0.25">
      <c r="B542" s="331" t="s">
        <v>740</v>
      </c>
      <c r="C542" s="332">
        <v>4</v>
      </c>
      <c r="D542" s="333" t="s">
        <v>684</v>
      </c>
      <c r="E542" s="334"/>
      <c r="F542" s="331" t="s">
        <v>435</v>
      </c>
      <c r="G542" s="335">
        <v>0</v>
      </c>
      <c r="H542" s="333">
        <v>113422.94790224</v>
      </c>
    </row>
    <row r="543" spans="2:8" x14ac:dyDescent="0.25">
      <c r="B543" s="320" t="s">
        <v>410</v>
      </c>
      <c r="C543" s="321"/>
      <c r="D543" s="322"/>
      <c r="E543" s="323"/>
      <c r="F543" s="320" t="s">
        <v>410</v>
      </c>
      <c r="G543" s="324"/>
      <c r="H543" s="322"/>
    </row>
    <row r="544" spans="2:8" x14ac:dyDescent="0.25">
      <c r="B544" s="325" t="s">
        <v>46</v>
      </c>
      <c r="C544" s="326">
        <v>3</v>
      </c>
      <c r="D544" s="327" t="s">
        <v>684</v>
      </c>
      <c r="E544" s="328"/>
      <c r="F544" s="325" t="s">
        <v>437</v>
      </c>
      <c r="G544" s="329">
        <v>75304.918131678729</v>
      </c>
      <c r="H544" s="327">
        <v>73380</v>
      </c>
    </row>
    <row r="545" spans="2:8" x14ac:dyDescent="0.25">
      <c r="B545" s="325" t="s">
        <v>18</v>
      </c>
      <c r="C545" s="326">
        <v>7</v>
      </c>
      <c r="D545" s="327">
        <v>81195.254395036187</v>
      </c>
      <c r="E545" s="328"/>
      <c r="F545" s="325" t="s">
        <v>438</v>
      </c>
      <c r="G545" s="329">
        <v>12740</v>
      </c>
      <c r="H545" s="327">
        <v>12740</v>
      </c>
    </row>
    <row r="546" spans="2:8" x14ac:dyDescent="0.25">
      <c r="B546" s="330" t="s">
        <v>244</v>
      </c>
      <c r="C546" s="326">
        <v>1</v>
      </c>
      <c r="D546" s="327" t="s">
        <v>684</v>
      </c>
      <c r="E546" s="328"/>
      <c r="F546" s="330" t="s">
        <v>439</v>
      </c>
      <c r="G546" s="329">
        <v>9914.2345780310698</v>
      </c>
      <c r="H546" s="327">
        <v>9294.3959208000015</v>
      </c>
    </row>
    <row r="547" spans="2:8" x14ac:dyDescent="0.25">
      <c r="B547" s="331" t="s">
        <v>740</v>
      </c>
      <c r="C547" s="332">
        <v>11</v>
      </c>
      <c r="D547" s="333">
        <v>75304.918131678729</v>
      </c>
      <c r="E547" s="334"/>
      <c r="F547" s="331" t="s">
        <v>435</v>
      </c>
      <c r="G547" s="335">
        <v>97959.152709709801</v>
      </c>
      <c r="H547" s="333">
        <v>95414.395920800001</v>
      </c>
    </row>
    <row r="548" spans="2:8" x14ac:dyDescent="0.25">
      <c r="B548" s="320" t="s">
        <v>411</v>
      </c>
      <c r="C548" s="321"/>
      <c r="D548" s="322"/>
      <c r="E548" s="323"/>
      <c r="F548" s="320" t="s">
        <v>411</v>
      </c>
      <c r="G548" s="324"/>
      <c r="H548" s="322"/>
    </row>
    <row r="549" spans="2:8" x14ac:dyDescent="0.25">
      <c r="B549" s="325" t="s">
        <v>46</v>
      </c>
      <c r="C549" s="326">
        <v>0</v>
      </c>
      <c r="D549" s="327" t="s">
        <v>684</v>
      </c>
      <c r="E549" s="328"/>
      <c r="F549" s="325" t="s">
        <v>437</v>
      </c>
      <c r="G549" s="329" t="s">
        <v>684</v>
      </c>
      <c r="H549" s="327">
        <v>60228</v>
      </c>
    </row>
    <row r="550" spans="2:8" x14ac:dyDescent="0.25">
      <c r="B550" s="325" t="s">
        <v>18</v>
      </c>
      <c r="C550" s="326">
        <v>0</v>
      </c>
      <c r="D550" s="327" t="s">
        <v>684</v>
      </c>
      <c r="E550" s="328"/>
      <c r="F550" s="325" t="s">
        <v>438</v>
      </c>
      <c r="G550" s="329" t="s">
        <v>684</v>
      </c>
      <c r="H550" s="327">
        <v>12740</v>
      </c>
    </row>
    <row r="551" spans="2:8" x14ac:dyDescent="0.25">
      <c r="B551" s="330" t="s">
        <v>244</v>
      </c>
      <c r="C551" s="326">
        <v>3</v>
      </c>
      <c r="D551" s="327" t="s">
        <v>684</v>
      </c>
      <c r="E551" s="328"/>
      <c r="F551" s="330" t="s">
        <v>439</v>
      </c>
      <c r="G551" s="329" t="s">
        <v>684</v>
      </c>
      <c r="H551" s="327">
        <v>7628.5483444800002</v>
      </c>
    </row>
    <row r="552" spans="2:8" x14ac:dyDescent="0.25">
      <c r="B552" s="331" t="s">
        <v>740</v>
      </c>
      <c r="C552" s="332">
        <v>3</v>
      </c>
      <c r="D552" s="333" t="s">
        <v>684</v>
      </c>
      <c r="E552" s="334"/>
      <c r="F552" s="331" t="s">
        <v>435</v>
      </c>
      <c r="G552" s="335">
        <v>0</v>
      </c>
      <c r="H552" s="333">
        <v>80596.548344480005</v>
      </c>
    </row>
    <row r="553" spans="2:8" x14ac:dyDescent="0.25">
      <c r="B553" s="314" t="s">
        <v>587</v>
      </c>
      <c r="C553" s="315"/>
      <c r="D553" s="316"/>
      <c r="E553" s="313"/>
      <c r="F553" s="314" t="s">
        <v>587</v>
      </c>
      <c r="G553" s="315"/>
      <c r="H553" s="316"/>
    </row>
    <row r="554" spans="2:8" ht="30" x14ac:dyDescent="0.25">
      <c r="B554" s="317" t="s">
        <v>47</v>
      </c>
      <c r="C554" s="318" t="s">
        <v>432</v>
      </c>
      <c r="D554" s="319" t="s">
        <v>436</v>
      </c>
      <c r="E554" s="313"/>
      <c r="F554" s="317" t="s">
        <v>47</v>
      </c>
      <c r="G554" s="318" t="s">
        <v>740</v>
      </c>
      <c r="H554" s="319" t="s">
        <v>48</v>
      </c>
    </row>
    <row r="555" spans="2:8" x14ac:dyDescent="0.25">
      <c r="B555" s="320" t="s">
        <v>332</v>
      </c>
      <c r="C555" s="321"/>
      <c r="D555" s="322"/>
      <c r="E555" s="323"/>
      <c r="F555" s="320" t="s">
        <v>332</v>
      </c>
      <c r="G555" s="324"/>
      <c r="H555" s="322"/>
    </row>
    <row r="556" spans="2:8" x14ac:dyDescent="0.25">
      <c r="B556" s="325" t="s">
        <v>46</v>
      </c>
      <c r="C556" s="326">
        <v>5</v>
      </c>
      <c r="D556" s="327">
        <v>47691.12</v>
      </c>
      <c r="E556" s="328"/>
      <c r="F556" s="325" t="s">
        <v>437</v>
      </c>
      <c r="G556" s="329">
        <v>46030.559999999998</v>
      </c>
      <c r="H556" s="327">
        <v>45012</v>
      </c>
    </row>
    <row r="557" spans="2:8" x14ac:dyDescent="0.25">
      <c r="B557" s="325" t="s">
        <v>18</v>
      </c>
      <c r="C557" s="326">
        <v>0</v>
      </c>
      <c r="D557" s="327" t="s">
        <v>684</v>
      </c>
      <c r="E557" s="328"/>
      <c r="F557" s="325" t="s">
        <v>438</v>
      </c>
      <c r="G557" s="329">
        <v>12740</v>
      </c>
      <c r="H557" s="327">
        <v>12740</v>
      </c>
    </row>
    <row r="558" spans="2:8" x14ac:dyDescent="0.25">
      <c r="B558" s="330" t="s">
        <v>244</v>
      </c>
      <c r="C558" s="326">
        <v>6</v>
      </c>
      <c r="D558" s="327">
        <v>44370</v>
      </c>
      <c r="E558" s="328"/>
      <c r="F558" s="330" t="s">
        <v>439</v>
      </c>
      <c r="G558" s="329">
        <v>2296.16</v>
      </c>
      <c r="H558" s="327">
        <v>5701.2721339200007</v>
      </c>
    </row>
    <row r="559" spans="2:8" x14ac:dyDescent="0.25">
      <c r="B559" s="331" t="s">
        <v>740</v>
      </c>
      <c r="C559" s="332">
        <v>11</v>
      </c>
      <c r="D559" s="333">
        <v>46030.559999999998</v>
      </c>
      <c r="E559" s="334"/>
      <c r="F559" s="331" t="s">
        <v>435</v>
      </c>
      <c r="G559" s="335">
        <v>61066.720000000001</v>
      </c>
      <c r="H559" s="333">
        <v>63453.27213392</v>
      </c>
    </row>
    <row r="560" spans="2:8" ht="15.75" customHeight="1" x14ac:dyDescent="0.25">
      <c r="B560" s="320" t="s">
        <v>333</v>
      </c>
      <c r="C560" s="321"/>
      <c r="D560" s="322"/>
      <c r="E560" s="323"/>
      <c r="F560" s="320" t="s">
        <v>333</v>
      </c>
      <c r="G560" s="324"/>
      <c r="H560" s="322"/>
    </row>
    <row r="561" spans="2:8" x14ac:dyDescent="0.25">
      <c r="B561" s="325" t="s">
        <v>46</v>
      </c>
      <c r="C561" s="326">
        <v>3</v>
      </c>
      <c r="D561" s="327" t="s">
        <v>684</v>
      </c>
      <c r="E561" s="328"/>
      <c r="F561" s="325" t="s">
        <v>437</v>
      </c>
      <c r="G561" s="329">
        <v>74340.347278030633</v>
      </c>
      <c r="H561" s="327">
        <v>57306</v>
      </c>
    </row>
    <row r="562" spans="2:8" x14ac:dyDescent="0.25">
      <c r="B562" s="325" t="s">
        <v>18</v>
      </c>
      <c r="C562" s="326">
        <v>12</v>
      </c>
      <c r="D562" s="327">
        <v>75436.956224833601</v>
      </c>
      <c r="E562" s="328"/>
      <c r="F562" s="325" t="s">
        <v>438</v>
      </c>
      <c r="G562" s="329">
        <v>12740</v>
      </c>
      <c r="H562" s="327">
        <v>12740</v>
      </c>
    </row>
    <row r="563" spans="2:8" x14ac:dyDescent="0.25">
      <c r="B563" s="330" t="s">
        <v>244</v>
      </c>
      <c r="C563" s="326">
        <v>5</v>
      </c>
      <c r="D563" s="327">
        <v>81617.145609258296</v>
      </c>
      <c r="E563" s="328"/>
      <c r="F563" s="330" t="s">
        <v>439</v>
      </c>
      <c r="G563" s="329">
        <v>8118.0769770245752</v>
      </c>
      <c r="H563" s="327">
        <v>7258.4444349600008</v>
      </c>
    </row>
    <row r="564" spans="2:8" x14ac:dyDescent="0.25">
      <c r="B564" s="331" t="s">
        <v>740</v>
      </c>
      <c r="C564" s="332">
        <v>20</v>
      </c>
      <c r="D564" s="333">
        <v>74340.347278030633</v>
      </c>
      <c r="E564" s="334"/>
      <c r="F564" s="331" t="s">
        <v>435</v>
      </c>
      <c r="G564" s="335">
        <v>95198.424255055201</v>
      </c>
      <c r="H564" s="333">
        <v>77304.444434959994</v>
      </c>
    </row>
    <row r="565" spans="2:8" x14ac:dyDescent="0.25">
      <c r="B565" s="320" t="s">
        <v>334</v>
      </c>
      <c r="C565" s="321"/>
      <c r="D565" s="322"/>
      <c r="E565" s="323"/>
      <c r="F565" s="320" t="s">
        <v>334</v>
      </c>
      <c r="G565" s="324"/>
      <c r="H565" s="322"/>
    </row>
    <row r="566" spans="2:8" x14ac:dyDescent="0.25">
      <c r="B566" s="325" t="s">
        <v>46</v>
      </c>
      <c r="C566" s="326">
        <v>0</v>
      </c>
      <c r="D566" s="327" t="s">
        <v>684</v>
      </c>
      <c r="E566" s="328"/>
      <c r="F566" s="325" t="s">
        <v>437</v>
      </c>
      <c r="G566" s="329">
        <v>36747.006659898587</v>
      </c>
      <c r="H566" s="327">
        <v>39030</v>
      </c>
    </row>
    <row r="567" spans="2:8" x14ac:dyDescent="0.25">
      <c r="B567" s="325" t="s">
        <v>18</v>
      </c>
      <c r="C567" s="326">
        <v>0</v>
      </c>
      <c r="D567" s="327" t="s">
        <v>684</v>
      </c>
      <c r="E567" s="328"/>
      <c r="F567" s="325" t="s">
        <v>438</v>
      </c>
      <c r="G567" s="329">
        <v>12740</v>
      </c>
      <c r="H567" s="327">
        <v>12740</v>
      </c>
    </row>
    <row r="568" spans="2:8" x14ac:dyDescent="0.25">
      <c r="B568" s="330" t="s">
        <v>244</v>
      </c>
      <c r="C568" s="326">
        <v>5</v>
      </c>
      <c r="D568" s="327">
        <v>36747.006659898587</v>
      </c>
      <c r="E568" s="328"/>
      <c r="F568" s="330" t="s">
        <v>439</v>
      </c>
      <c r="G568" s="329">
        <v>1469.8802663959434</v>
      </c>
      <c r="H568" s="327">
        <v>4943.5850748000003</v>
      </c>
    </row>
    <row r="569" spans="2:8" x14ac:dyDescent="0.25">
      <c r="B569" s="331" t="s">
        <v>740</v>
      </c>
      <c r="C569" s="332">
        <v>5</v>
      </c>
      <c r="D569" s="333">
        <v>36747.006659898587</v>
      </c>
      <c r="E569" s="334"/>
      <c r="F569" s="331" t="s">
        <v>435</v>
      </c>
      <c r="G569" s="335">
        <v>50956.88692629453</v>
      </c>
      <c r="H569" s="333">
        <v>56713.585074800001</v>
      </c>
    </row>
    <row r="570" spans="2:8" ht="15.75" customHeight="1" x14ac:dyDescent="0.25">
      <c r="B570" s="314" t="s">
        <v>51</v>
      </c>
      <c r="C570" s="315"/>
      <c r="D570" s="316"/>
      <c r="E570" s="313"/>
      <c r="F570" s="314" t="s">
        <v>51</v>
      </c>
      <c r="G570" s="315"/>
      <c r="H570" s="316"/>
    </row>
    <row r="571" spans="2:8" ht="30" x14ac:dyDescent="0.25">
      <c r="B571" s="317" t="s">
        <v>47</v>
      </c>
      <c r="C571" s="318" t="s">
        <v>432</v>
      </c>
      <c r="D571" s="319" t="s">
        <v>436</v>
      </c>
      <c r="E571" s="313"/>
      <c r="F571" s="317" t="s">
        <v>47</v>
      </c>
      <c r="G571" s="318" t="s">
        <v>740</v>
      </c>
      <c r="H571" s="319" t="s">
        <v>48</v>
      </c>
    </row>
    <row r="572" spans="2:8" x14ac:dyDescent="0.25">
      <c r="B572" s="320" t="s">
        <v>335</v>
      </c>
      <c r="C572" s="321"/>
      <c r="D572" s="322"/>
      <c r="E572" s="323"/>
      <c r="F572" s="320" t="s">
        <v>335</v>
      </c>
      <c r="G572" s="324"/>
      <c r="H572" s="322"/>
    </row>
    <row r="573" spans="2:8" x14ac:dyDescent="0.25">
      <c r="B573" s="325" t="s">
        <v>46</v>
      </c>
      <c r="C573" s="326">
        <v>19</v>
      </c>
      <c r="D573" s="327">
        <v>88884</v>
      </c>
      <c r="E573" s="328"/>
      <c r="F573" s="325" t="s">
        <v>437</v>
      </c>
      <c r="G573" s="329">
        <v>84443.210786528405</v>
      </c>
      <c r="H573" s="327">
        <v>61710</v>
      </c>
    </row>
    <row r="574" spans="2:8" x14ac:dyDescent="0.25">
      <c r="B574" s="325" t="s">
        <v>18</v>
      </c>
      <c r="C574" s="326">
        <v>0</v>
      </c>
      <c r="D574" s="327" t="s">
        <v>684</v>
      </c>
      <c r="E574" s="328"/>
      <c r="F574" s="325" t="s">
        <v>438</v>
      </c>
      <c r="G574" s="329">
        <v>12740</v>
      </c>
      <c r="H574" s="327">
        <v>12740</v>
      </c>
    </row>
    <row r="575" spans="2:8" x14ac:dyDescent="0.25">
      <c r="B575" s="330" t="s">
        <v>244</v>
      </c>
      <c r="C575" s="326">
        <v>6</v>
      </c>
      <c r="D575" s="327">
        <v>80002.42157305681</v>
      </c>
      <c r="E575" s="328"/>
      <c r="F575" s="330" t="s">
        <v>439</v>
      </c>
      <c r="G575" s="329">
        <v>10387.857292736868</v>
      </c>
      <c r="H575" s="327">
        <v>7816.2601836000003</v>
      </c>
    </row>
    <row r="576" spans="2:8" x14ac:dyDescent="0.25">
      <c r="B576" s="331" t="s">
        <v>740</v>
      </c>
      <c r="C576" s="332">
        <v>25</v>
      </c>
      <c r="D576" s="333">
        <v>84443.210786528405</v>
      </c>
      <c r="E576" s="334"/>
      <c r="F576" s="331" t="s">
        <v>435</v>
      </c>
      <c r="G576" s="335">
        <v>107571.06807926527</v>
      </c>
      <c r="H576" s="333">
        <v>82266.260183599996</v>
      </c>
    </row>
    <row r="577" spans="2:8" x14ac:dyDescent="0.25">
      <c r="B577" s="320" t="s">
        <v>336</v>
      </c>
      <c r="C577" s="321"/>
      <c r="D577" s="322"/>
      <c r="E577" s="323"/>
      <c r="F577" s="320" t="s">
        <v>336</v>
      </c>
      <c r="G577" s="324"/>
      <c r="H577" s="322"/>
    </row>
    <row r="578" spans="2:8" x14ac:dyDescent="0.25">
      <c r="B578" s="325" t="s">
        <v>46</v>
      </c>
      <c r="C578" s="326">
        <v>5</v>
      </c>
      <c r="D578" s="327">
        <v>81546</v>
      </c>
      <c r="E578" s="328"/>
      <c r="F578" s="325" t="s">
        <v>437</v>
      </c>
      <c r="G578" s="329">
        <v>83021.619448740239</v>
      </c>
      <c r="H578" s="327">
        <v>61710</v>
      </c>
    </row>
    <row r="579" spans="2:8" x14ac:dyDescent="0.25">
      <c r="B579" s="325" t="s">
        <v>18</v>
      </c>
      <c r="C579" s="326">
        <v>0</v>
      </c>
      <c r="D579" s="327" t="s">
        <v>684</v>
      </c>
      <c r="E579" s="328"/>
      <c r="F579" s="325" t="s">
        <v>438</v>
      </c>
      <c r="G579" s="329">
        <v>12740</v>
      </c>
      <c r="H579" s="327">
        <v>12740</v>
      </c>
    </row>
    <row r="580" spans="2:8" x14ac:dyDescent="0.25">
      <c r="B580" s="330" t="s">
        <v>244</v>
      </c>
      <c r="C580" s="326">
        <v>4</v>
      </c>
      <c r="D580" s="327" t="s">
        <v>684</v>
      </c>
      <c r="E580" s="328"/>
      <c r="F580" s="330" t="s">
        <v>439</v>
      </c>
      <c r="G580" s="329">
        <v>5724.8817634179504</v>
      </c>
      <c r="H580" s="327">
        <v>7816.2601836000003</v>
      </c>
    </row>
    <row r="581" spans="2:8" x14ac:dyDescent="0.25">
      <c r="B581" s="331" t="s">
        <v>740</v>
      </c>
      <c r="C581" s="332">
        <v>9</v>
      </c>
      <c r="D581" s="333">
        <v>83021.619448740239</v>
      </c>
      <c r="E581" s="334"/>
      <c r="F581" s="331" t="s">
        <v>435</v>
      </c>
      <c r="G581" s="335">
        <v>101486.50121215818</v>
      </c>
      <c r="H581" s="333">
        <v>82266.260183599996</v>
      </c>
    </row>
    <row r="582" spans="2:8" x14ac:dyDescent="0.25">
      <c r="B582" s="320" t="s">
        <v>337</v>
      </c>
      <c r="C582" s="321"/>
      <c r="D582" s="322"/>
      <c r="E582" s="323"/>
      <c r="F582" s="320" t="s">
        <v>337</v>
      </c>
      <c r="G582" s="324"/>
      <c r="H582" s="322"/>
    </row>
    <row r="583" spans="2:8" x14ac:dyDescent="0.25">
      <c r="B583" s="325" t="s">
        <v>46</v>
      </c>
      <c r="C583" s="326">
        <v>4</v>
      </c>
      <c r="D583" s="327" t="s">
        <v>684</v>
      </c>
      <c r="E583" s="328"/>
      <c r="F583" s="325" t="s">
        <v>437</v>
      </c>
      <c r="G583" s="329">
        <v>69321.850379084965</v>
      </c>
      <c r="H583" s="327">
        <v>57306</v>
      </c>
    </row>
    <row r="584" spans="2:8" x14ac:dyDescent="0.25">
      <c r="B584" s="325" t="s">
        <v>18</v>
      </c>
      <c r="C584" s="326">
        <v>9</v>
      </c>
      <c r="D584" s="327">
        <v>62636.243137254896</v>
      </c>
      <c r="E584" s="328"/>
      <c r="F584" s="325" t="s">
        <v>438</v>
      </c>
      <c r="G584" s="329">
        <v>12740</v>
      </c>
      <c r="H584" s="327">
        <v>12740</v>
      </c>
    </row>
    <row r="585" spans="2:8" x14ac:dyDescent="0.25">
      <c r="B585" s="330" t="s">
        <v>244</v>
      </c>
      <c r="C585" s="326">
        <v>4</v>
      </c>
      <c r="D585" s="327" t="s">
        <v>684</v>
      </c>
      <c r="E585" s="328"/>
      <c r="F585" s="330" t="s">
        <v>439</v>
      </c>
      <c r="G585" s="329">
        <v>8137.6801623764677</v>
      </c>
      <c r="H585" s="327">
        <v>7258.4444349600008</v>
      </c>
    </row>
    <row r="586" spans="2:8" x14ac:dyDescent="0.25">
      <c r="B586" s="331" t="s">
        <v>740</v>
      </c>
      <c r="C586" s="332">
        <v>17</v>
      </c>
      <c r="D586" s="333">
        <v>69321.850379084965</v>
      </c>
      <c r="E586" s="334"/>
      <c r="F586" s="331" t="s">
        <v>435</v>
      </c>
      <c r="G586" s="335">
        <v>90199.530541461427</v>
      </c>
      <c r="H586" s="333">
        <v>77304.444434959994</v>
      </c>
    </row>
    <row r="587" spans="2:8" x14ac:dyDescent="0.25">
      <c r="B587" s="320" t="s">
        <v>338</v>
      </c>
      <c r="C587" s="321"/>
      <c r="D587" s="322"/>
      <c r="E587" s="323"/>
      <c r="F587" s="320" t="s">
        <v>338</v>
      </c>
      <c r="G587" s="324"/>
      <c r="H587" s="322"/>
    </row>
    <row r="588" spans="2:8" x14ac:dyDescent="0.25">
      <c r="B588" s="325" t="s">
        <v>46</v>
      </c>
      <c r="C588" s="326">
        <v>2</v>
      </c>
      <c r="D588" s="327" t="s">
        <v>684</v>
      </c>
      <c r="E588" s="328"/>
      <c r="F588" s="325" t="s">
        <v>437</v>
      </c>
      <c r="G588" s="329">
        <v>57801.593999999997</v>
      </c>
      <c r="H588" s="327">
        <v>43554</v>
      </c>
    </row>
    <row r="589" spans="2:8" x14ac:dyDescent="0.25">
      <c r="B589" s="325" t="s">
        <v>18</v>
      </c>
      <c r="C589" s="326">
        <v>0</v>
      </c>
      <c r="D589" s="327" t="s">
        <v>684</v>
      </c>
      <c r="E589" s="328"/>
      <c r="F589" s="325" t="s">
        <v>438</v>
      </c>
      <c r="G589" s="329">
        <v>12740</v>
      </c>
      <c r="H589" s="327">
        <v>12740</v>
      </c>
    </row>
    <row r="590" spans="2:8" x14ac:dyDescent="0.25">
      <c r="B590" s="330" t="s">
        <v>244</v>
      </c>
      <c r="C590" s="326">
        <v>3</v>
      </c>
      <c r="D590" s="327" t="s">
        <v>684</v>
      </c>
      <c r="E590" s="328"/>
      <c r="F590" s="330" t="s">
        <v>439</v>
      </c>
      <c r="G590" s="329">
        <v>2592</v>
      </c>
      <c r="H590" s="327">
        <v>5516.6001626400002</v>
      </c>
    </row>
    <row r="591" spans="2:8" x14ac:dyDescent="0.25">
      <c r="B591" s="331" t="s">
        <v>740</v>
      </c>
      <c r="C591" s="332">
        <v>5</v>
      </c>
      <c r="D591" s="333">
        <v>57801.593999999997</v>
      </c>
      <c r="E591" s="334"/>
      <c r="F591" s="331" t="s">
        <v>435</v>
      </c>
      <c r="G591" s="335">
        <v>73133.593999999997</v>
      </c>
      <c r="H591" s="333">
        <v>61810.600162640003</v>
      </c>
    </row>
    <row r="592" spans="2:8" x14ac:dyDescent="0.25">
      <c r="B592" s="320" t="s">
        <v>412</v>
      </c>
      <c r="C592" s="321"/>
      <c r="D592" s="322"/>
      <c r="E592" s="323"/>
      <c r="F592" s="320" t="s">
        <v>412</v>
      </c>
      <c r="G592" s="324"/>
      <c r="H592" s="322"/>
    </row>
    <row r="593" spans="2:8" x14ac:dyDescent="0.25">
      <c r="B593" s="325" t="s">
        <v>46</v>
      </c>
      <c r="C593" s="326">
        <v>7</v>
      </c>
      <c r="D593" s="327">
        <v>75753</v>
      </c>
      <c r="E593" s="328"/>
      <c r="F593" s="325" t="s">
        <v>437</v>
      </c>
      <c r="G593" s="329">
        <v>66432.75</v>
      </c>
      <c r="H593" s="327">
        <v>54582</v>
      </c>
    </row>
    <row r="594" spans="2:8" x14ac:dyDescent="0.25">
      <c r="B594" s="325" t="s">
        <v>18</v>
      </c>
      <c r="C594" s="326">
        <v>0</v>
      </c>
      <c r="D594" s="327" t="s">
        <v>684</v>
      </c>
      <c r="E594" s="328"/>
      <c r="F594" s="325" t="s">
        <v>438</v>
      </c>
      <c r="G594" s="329">
        <v>12740</v>
      </c>
      <c r="H594" s="327">
        <v>12740</v>
      </c>
    </row>
    <row r="595" spans="2:8" x14ac:dyDescent="0.25">
      <c r="B595" s="330" t="s">
        <v>244</v>
      </c>
      <c r="C595" s="326">
        <v>2</v>
      </c>
      <c r="D595" s="327" t="s">
        <v>684</v>
      </c>
      <c r="E595" s="328"/>
      <c r="F595" s="330" t="s">
        <v>439</v>
      </c>
      <c r="G595" s="329">
        <v>9514.7863392000017</v>
      </c>
      <c r="H595" s="327">
        <v>6913.4194351200013</v>
      </c>
    </row>
    <row r="596" spans="2:8" x14ac:dyDescent="0.25">
      <c r="B596" s="331" t="s">
        <v>740</v>
      </c>
      <c r="C596" s="332">
        <v>9</v>
      </c>
      <c r="D596" s="333">
        <v>66432.75</v>
      </c>
      <c r="E596" s="334"/>
      <c r="F596" s="331" t="s">
        <v>435</v>
      </c>
      <c r="G596" s="335">
        <v>88687.5363392</v>
      </c>
      <c r="H596" s="333">
        <v>74235.419435119999</v>
      </c>
    </row>
    <row r="597" spans="2:8" x14ac:dyDescent="0.25">
      <c r="B597" s="320" t="s">
        <v>339</v>
      </c>
      <c r="C597" s="321"/>
      <c r="D597" s="322"/>
      <c r="E597" s="323"/>
      <c r="F597" s="320" t="s">
        <v>339</v>
      </c>
      <c r="G597" s="324"/>
      <c r="H597" s="322"/>
    </row>
    <row r="598" spans="2:8" x14ac:dyDescent="0.25">
      <c r="B598" s="325" t="s">
        <v>46</v>
      </c>
      <c r="C598" s="326">
        <v>5</v>
      </c>
      <c r="D598" s="327">
        <v>69773.58</v>
      </c>
      <c r="E598" s="328"/>
      <c r="F598" s="325" t="s">
        <v>437</v>
      </c>
      <c r="G598" s="329">
        <v>69590.461685304996</v>
      </c>
      <c r="H598" s="327">
        <v>54240</v>
      </c>
    </row>
    <row r="599" spans="2:8" x14ac:dyDescent="0.25">
      <c r="B599" s="325" t="s">
        <v>18</v>
      </c>
      <c r="C599" s="326">
        <v>8</v>
      </c>
      <c r="D599" s="327">
        <v>67997.805055914971</v>
      </c>
      <c r="E599" s="328"/>
      <c r="F599" s="325" t="s">
        <v>438</v>
      </c>
      <c r="G599" s="329">
        <v>12740</v>
      </c>
      <c r="H599" s="327">
        <v>12740</v>
      </c>
    </row>
    <row r="600" spans="2:8" x14ac:dyDescent="0.25">
      <c r="B600" s="330" t="s">
        <v>244</v>
      </c>
      <c r="C600" s="326">
        <v>3</v>
      </c>
      <c r="D600" s="327" t="s">
        <v>684</v>
      </c>
      <c r="E600" s="328"/>
      <c r="F600" s="330" t="s">
        <v>439</v>
      </c>
      <c r="G600" s="329">
        <v>9038.1573140123528</v>
      </c>
      <c r="H600" s="327">
        <v>6870.1013184000003</v>
      </c>
    </row>
    <row r="601" spans="2:8" x14ac:dyDescent="0.25">
      <c r="B601" s="331" t="s">
        <v>740</v>
      </c>
      <c r="C601" s="332">
        <v>16</v>
      </c>
      <c r="D601" s="333">
        <v>69590.461685304996</v>
      </c>
      <c r="E601" s="334"/>
      <c r="F601" s="331" t="s">
        <v>435</v>
      </c>
      <c r="G601" s="335">
        <v>91368.618999317347</v>
      </c>
      <c r="H601" s="333">
        <v>73850.101318400004</v>
      </c>
    </row>
    <row r="602" spans="2:8" x14ac:dyDescent="0.25">
      <c r="B602" s="320" t="s">
        <v>413</v>
      </c>
      <c r="C602" s="321"/>
      <c r="D602" s="322"/>
      <c r="E602" s="323"/>
      <c r="F602" s="320" t="s">
        <v>413</v>
      </c>
      <c r="G602" s="324"/>
      <c r="H602" s="322"/>
    </row>
    <row r="603" spans="2:8" x14ac:dyDescent="0.25">
      <c r="B603" s="325" t="s">
        <v>46</v>
      </c>
      <c r="C603" s="326">
        <v>7</v>
      </c>
      <c r="D603" s="327">
        <v>64032.800000000003</v>
      </c>
      <c r="E603" s="328"/>
      <c r="F603" s="325" t="s">
        <v>437</v>
      </c>
      <c r="G603" s="329">
        <v>64032.800000000003</v>
      </c>
      <c r="H603" s="327">
        <v>67278</v>
      </c>
    </row>
    <row r="604" spans="2:8" x14ac:dyDescent="0.25">
      <c r="B604" s="325" t="s">
        <v>18</v>
      </c>
      <c r="C604" s="326">
        <v>0</v>
      </c>
      <c r="D604" s="327" t="s">
        <v>684</v>
      </c>
      <c r="E604" s="328"/>
      <c r="F604" s="325" t="s">
        <v>438</v>
      </c>
      <c r="G604" s="329">
        <v>14332.5</v>
      </c>
      <c r="H604" s="327">
        <v>12740</v>
      </c>
    </row>
    <row r="605" spans="2:8" x14ac:dyDescent="0.25">
      <c r="B605" s="330" t="s">
        <v>244</v>
      </c>
      <c r="C605" s="326">
        <v>0</v>
      </c>
      <c r="D605" s="327" t="s">
        <v>684</v>
      </c>
      <c r="E605" s="328"/>
      <c r="F605" s="330" t="s">
        <v>439</v>
      </c>
      <c r="G605" s="329">
        <v>8110.4687260480014</v>
      </c>
      <c r="H605" s="327">
        <v>8521.5095224800007</v>
      </c>
    </row>
    <row r="606" spans="2:8" x14ac:dyDescent="0.25">
      <c r="B606" s="331" t="s">
        <v>740</v>
      </c>
      <c r="C606" s="332">
        <v>7</v>
      </c>
      <c r="D606" s="333">
        <v>64032.800000000003</v>
      </c>
      <c r="E606" s="334"/>
      <c r="F606" s="331" t="s">
        <v>435</v>
      </c>
      <c r="G606" s="335">
        <v>86475.768726048002</v>
      </c>
      <c r="H606" s="333">
        <v>88539.509522480002</v>
      </c>
    </row>
    <row r="607" spans="2:8" x14ac:dyDescent="0.25">
      <c r="B607" s="320" t="s">
        <v>340</v>
      </c>
      <c r="C607" s="321"/>
      <c r="D607" s="322"/>
      <c r="E607" s="323"/>
      <c r="F607" s="320" t="s">
        <v>340</v>
      </c>
      <c r="G607" s="324"/>
      <c r="H607" s="322"/>
    </row>
    <row r="608" spans="2:8" x14ac:dyDescent="0.25">
      <c r="B608" s="325" t="s">
        <v>46</v>
      </c>
      <c r="C608" s="326">
        <v>3</v>
      </c>
      <c r="D608" s="327" t="s">
        <v>684</v>
      </c>
      <c r="E608" s="328"/>
      <c r="F608" s="325" t="s">
        <v>437</v>
      </c>
      <c r="G608" s="329">
        <v>98075.876653712214</v>
      </c>
      <c r="H608" s="327">
        <v>82992</v>
      </c>
    </row>
    <row r="609" spans="2:8" x14ac:dyDescent="0.25">
      <c r="B609" s="325" t="s">
        <v>18</v>
      </c>
      <c r="C609" s="326">
        <v>0</v>
      </c>
      <c r="D609" s="327" t="s">
        <v>684</v>
      </c>
      <c r="E609" s="328"/>
      <c r="F609" s="325" t="s">
        <v>438</v>
      </c>
      <c r="G609" s="329">
        <v>12740</v>
      </c>
      <c r="H609" s="327">
        <v>12740</v>
      </c>
    </row>
    <row r="610" spans="2:8" x14ac:dyDescent="0.25">
      <c r="B610" s="330" t="s">
        <v>244</v>
      </c>
      <c r="C610" s="326">
        <v>4</v>
      </c>
      <c r="D610" s="327" t="s">
        <v>684</v>
      </c>
      <c r="E610" s="328"/>
      <c r="F610" s="330" t="s">
        <v>439</v>
      </c>
      <c r="G610" s="329">
        <v>5762.76</v>
      </c>
      <c r="H610" s="327">
        <v>10511.862990720001</v>
      </c>
    </row>
    <row r="611" spans="2:8" x14ac:dyDescent="0.25">
      <c r="B611" s="331" t="s">
        <v>740</v>
      </c>
      <c r="C611" s="332">
        <v>7</v>
      </c>
      <c r="D611" s="333">
        <v>98075.876653712214</v>
      </c>
      <c r="E611" s="334"/>
      <c r="F611" s="331" t="s">
        <v>435</v>
      </c>
      <c r="G611" s="335">
        <v>116578.63665371221</v>
      </c>
      <c r="H611" s="333">
        <v>106243.86299071999</v>
      </c>
    </row>
    <row r="612" spans="2:8" ht="15.75" customHeight="1" x14ac:dyDescent="0.25">
      <c r="B612" s="314" t="s">
        <v>7</v>
      </c>
      <c r="C612" s="315"/>
      <c r="D612" s="316"/>
      <c r="E612" s="313"/>
      <c r="F612" s="314" t="s">
        <v>7</v>
      </c>
      <c r="G612" s="315"/>
      <c r="H612" s="316"/>
    </row>
    <row r="613" spans="2:8" ht="30" x14ac:dyDescent="0.25">
      <c r="B613" s="317" t="s">
        <v>47</v>
      </c>
      <c r="C613" s="318" t="s">
        <v>432</v>
      </c>
      <c r="D613" s="319" t="s">
        <v>436</v>
      </c>
      <c r="E613" s="313"/>
      <c r="F613" s="317" t="s">
        <v>47</v>
      </c>
      <c r="G613" s="318" t="s">
        <v>740</v>
      </c>
      <c r="H613" s="319" t="s">
        <v>48</v>
      </c>
    </row>
    <row r="614" spans="2:8" x14ac:dyDescent="0.25">
      <c r="B614" s="320" t="s">
        <v>341</v>
      </c>
      <c r="C614" s="321"/>
      <c r="D614" s="322"/>
      <c r="E614" s="323"/>
      <c r="F614" s="320" t="s">
        <v>341</v>
      </c>
      <c r="G614" s="324"/>
      <c r="H614" s="322"/>
    </row>
    <row r="615" spans="2:8" x14ac:dyDescent="0.25">
      <c r="B615" s="325" t="s">
        <v>46</v>
      </c>
      <c r="C615" s="326">
        <v>5</v>
      </c>
      <c r="D615" s="327">
        <v>96366.5</v>
      </c>
      <c r="E615" s="328"/>
      <c r="F615" s="325" t="s">
        <v>437</v>
      </c>
      <c r="G615" s="329">
        <v>89327.047457229186</v>
      </c>
      <c r="H615" s="327">
        <v>63258</v>
      </c>
    </row>
    <row r="616" spans="2:8" x14ac:dyDescent="0.25">
      <c r="B616" s="325" t="s">
        <v>18</v>
      </c>
      <c r="C616" s="326">
        <v>10</v>
      </c>
      <c r="D616" s="327">
        <v>82182.614450007532</v>
      </c>
      <c r="E616" s="328"/>
      <c r="F616" s="325" t="s">
        <v>438</v>
      </c>
      <c r="G616" s="329">
        <v>12740</v>
      </c>
      <c r="H616" s="327">
        <v>12740</v>
      </c>
    </row>
    <row r="617" spans="2:8" x14ac:dyDescent="0.25">
      <c r="B617" s="330" t="s">
        <v>244</v>
      </c>
      <c r="C617" s="326">
        <v>2</v>
      </c>
      <c r="D617" s="327" t="s">
        <v>684</v>
      </c>
      <c r="E617" s="328"/>
      <c r="F617" s="330" t="s">
        <v>439</v>
      </c>
      <c r="G617" s="329">
        <v>10462.950582077583</v>
      </c>
      <c r="H617" s="327">
        <v>8012.3316592800011</v>
      </c>
    </row>
    <row r="618" spans="2:8" x14ac:dyDescent="0.25">
      <c r="B618" s="331" t="s">
        <v>740</v>
      </c>
      <c r="C618" s="332">
        <v>17</v>
      </c>
      <c r="D618" s="333">
        <v>89327.047457229186</v>
      </c>
      <c r="E618" s="334"/>
      <c r="F618" s="331" t="s">
        <v>435</v>
      </c>
      <c r="G618" s="335">
        <v>112529.99803930677</v>
      </c>
      <c r="H618" s="333">
        <v>84010.331659279997</v>
      </c>
    </row>
    <row r="619" spans="2:8" x14ac:dyDescent="0.25">
      <c r="B619" s="320" t="s">
        <v>342</v>
      </c>
      <c r="C619" s="321"/>
      <c r="D619" s="322"/>
      <c r="E619" s="323"/>
      <c r="F619" s="320" t="s">
        <v>342</v>
      </c>
      <c r="G619" s="324"/>
      <c r="H619" s="322"/>
    </row>
    <row r="620" spans="2:8" x14ac:dyDescent="0.25">
      <c r="B620" s="325" t="s">
        <v>46</v>
      </c>
      <c r="C620" s="326">
        <v>6</v>
      </c>
      <c r="D620" s="327">
        <v>90023.73</v>
      </c>
      <c r="E620" s="328"/>
      <c r="F620" s="325" t="s">
        <v>437</v>
      </c>
      <c r="G620" s="329">
        <v>88909.044995980454</v>
      </c>
      <c r="H620" s="327">
        <v>54582</v>
      </c>
    </row>
    <row r="621" spans="2:8" x14ac:dyDescent="0.25">
      <c r="B621" s="325" t="s">
        <v>18</v>
      </c>
      <c r="C621" s="326">
        <v>2</v>
      </c>
      <c r="D621" s="327" t="s">
        <v>684</v>
      </c>
      <c r="E621" s="328"/>
      <c r="F621" s="325" t="s">
        <v>438</v>
      </c>
      <c r="G621" s="329">
        <v>12740</v>
      </c>
      <c r="H621" s="327">
        <v>12740</v>
      </c>
    </row>
    <row r="622" spans="2:8" x14ac:dyDescent="0.25">
      <c r="B622" s="330" t="s">
        <v>244</v>
      </c>
      <c r="C622" s="326">
        <v>4</v>
      </c>
      <c r="D622" s="327" t="s">
        <v>684</v>
      </c>
      <c r="E622" s="328"/>
      <c r="F622" s="330" t="s">
        <v>439</v>
      </c>
      <c r="G622" s="329">
        <v>9814.4619369850552</v>
      </c>
      <c r="H622" s="327">
        <v>6913.4194351200013</v>
      </c>
    </row>
    <row r="623" spans="2:8" x14ac:dyDescent="0.25">
      <c r="B623" s="331" t="s">
        <v>740</v>
      </c>
      <c r="C623" s="332">
        <v>12</v>
      </c>
      <c r="D623" s="333">
        <v>88909.044995980454</v>
      </c>
      <c r="E623" s="334"/>
      <c r="F623" s="331" t="s">
        <v>435</v>
      </c>
      <c r="G623" s="335">
        <v>111463.50693296551</v>
      </c>
      <c r="H623" s="333">
        <v>74235.419435119999</v>
      </c>
    </row>
    <row r="624" spans="2:8" x14ac:dyDescent="0.25">
      <c r="B624" s="320" t="s">
        <v>343</v>
      </c>
      <c r="C624" s="321"/>
      <c r="D624" s="322"/>
      <c r="E624" s="323"/>
      <c r="F624" s="320" t="s">
        <v>343</v>
      </c>
      <c r="G624" s="324"/>
      <c r="H624" s="322"/>
    </row>
    <row r="625" spans="2:8" x14ac:dyDescent="0.25">
      <c r="B625" s="325" t="s">
        <v>46</v>
      </c>
      <c r="C625" s="326">
        <v>6</v>
      </c>
      <c r="D625" s="327">
        <v>85967.86</v>
      </c>
      <c r="E625" s="328"/>
      <c r="F625" s="325" t="s">
        <v>437</v>
      </c>
      <c r="G625" s="329">
        <v>89033.205620915032</v>
      </c>
      <c r="H625" s="327">
        <v>89364</v>
      </c>
    </row>
    <row r="626" spans="2:8" x14ac:dyDescent="0.25">
      <c r="B626" s="325" t="s">
        <v>18</v>
      </c>
      <c r="C626" s="326">
        <v>9</v>
      </c>
      <c r="D626" s="327">
        <v>100955.7568627451</v>
      </c>
      <c r="E626" s="328"/>
      <c r="F626" s="325" t="s">
        <v>438</v>
      </c>
      <c r="G626" s="329">
        <v>14332.5</v>
      </c>
      <c r="H626" s="327">
        <v>12740</v>
      </c>
    </row>
    <row r="627" spans="2:8" x14ac:dyDescent="0.25">
      <c r="B627" s="330" t="s">
        <v>244</v>
      </c>
      <c r="C627" s="326">
        <v>1</v>
      </c>
      <c r="D627" s="327" t="s">
        <v>684</v>
      </c>
      <c r="E627" s="328"/>
      <c r="F627" s="330" t="s">
        <v>439</v>
      </c>
      <c r="G627" s="329">
        <v>12389.428234057075</v>
      </c>
      <c r="H627" s="327">
        <v>11318.947902240001</v>
      </c>
    </row>
    <row r="628" spans="2:8" x14ac:dyDescent="0.25">
      <c r="B628" s="331" t="s">
        <v>740</v>
      </c>
      <c r="C628" s="332">
        <v>16</v>
      </c>
      <c r="D628" s="333">
        <v>89033.205620915032</v>
      </c>
      <c r="E628" s="334"/>
      <c r="F628" s="331" t="s">
        <v>435</v>
      </c>
      <c r="G628" s="335">
        <v>115755.13385497211</v>
      </c>
      <c r="H628" s="333">
        <v>113422.94790224</v>
      </c>
    </row>
    <row r="629" spans="2:8" x14ac:dyDescent="0.25">
      <c r="B629" s="320" t="s">
        <v>414</v>
      </c>
      <c r="C629" s="321"/>
      <c r="D629" s="322"/>
      <c r="E629" s="323"/>
      <c r="F629" s="320" t="s">
        <v>414</v>
      </c>
      <c r="G629" s="324"/>
      <c r="H629" s="322"/>
    </row>
    <row r="630" spans="2:8" x14ac:dyDescent="0.25">
      <c r="B630" s="325" t="s">
        <v>46</v>
      </c>
      <c r="C630" s="326">
        <v>14</v>
      </c>
      <c r="D630" s="327">
        <v>64547.600000000006</v>
      </c>
      <c r="E630" s="328"/>
      <c r="F630" s="325" t="s">
        <v>437</v>
      </c>
      <c r="G630" s="329">
        <v>64547.600000000006</v>
      </c>
      <c r="H630" s="327">
        <v>50766</v>
      </c>
    </row>
    <row r="631" spans="2:8" x14ac:dyDescent="0.25">
      <c r="B631" s="325" t="s">
        <v>18</v>
      </c>
      <c r="C631" s="326">
        <v>0</v>
      </c>
      <c r="D631" s="327" t="s">
        <v>684</v>
      </c>
      <c r="E631" s="328"/>
      <c r="F631" s="325" t="s">
        <v>438</v>
      </c>
      <c r="G631" s="329">
        <v>14332.5</v>
      </c>
      <c r="H631" s="327">
        <v>12740</v>
      </c>
    </row>
    <row r="632" spans="2:8" x14ac:dyDescent="0.25">
      <c r="B632" s="330" t="s">
        <v>244</v>
      </c>
      <c r="C632" s="326">
        <v>0</v>
      </c>
      <c r="D632" s="327" t="s">
        <v>684</v>
      </c>
      <c r="E632" s="328"/>
      <c r="F632" s="330" t="s">
        <v>439</v>
      </c>
      <c r="G632" s="329">
        <v>8246.1481606400012</v>
      </c>
      <c r="H632" s="327">
        <v>6430.0804485600011</v>
      </c>
    </row>
    <row r="633" spans="2:8" x14ac:dyDescent="0.25">
      <c r="B633" s="331" t="s">
        <v>740</v>
      </c>
      <c r="C633" s="332">
        <v>14</v>
      </c>
      <c r="D633" s="333">
        <v>64547.600000000006</v>
      </c>
      <c r="E633" s="334"/>
      <c r="F633" s="331" t="s">
        <v>435</v>
      </c>
      <c r="G633" s="335">
        <v>87126.248160640011</v>
      </c>
      <c r="H633" s="333">
        <v>69936.080448559995</v>
      </c>
    </row>
    <row r="634" spans="2:8" x14ac:dyDescent="0.25">
      <c r="B634" s="320" t="s">
        <v>344</v>
      </c>
      <c r="C634" s="321"/>
      <c r="D634" s="322"/>
      <c r="E634" s="323"/>
      <c r="F634" s="320" t="s">
        <v>344</v>
      </c>
      <c r="G634" s="324"/>
      <c r="H634" s="322"/>
    </row>
    <row r="635" spans="2:8" x14ac:dyDescent="0.25">
      <c r="B635" s="325" t="s">
        <v>46</v>
      </c>
      <c r="C635" s="326">
        <v>2</v>
      </c>
      <c r="D635" s="327" t="s">
        <v>684</v>
      </c>
      <c r="E635" s="328"/>
      <c r="F635" s="325" t="s">
        <v>437</v>
      </c>
      <c r="G635" s="329">
        <v>94793.914122933798</v>
      </c>
      <c r="H635" s="327">
        <v>80970</v>
      </c>
    </row>
    <row r="636" spans="2:8" x14ac:dyDescent="0.25">
      <c r="B636" s="325" t="s">
        <v>18</v>
      </c>
      <c r="C636" s="326">
        <v>11</v>
      </c>
      <c r="D636" s="327">
        <v>98039.548358862128</v>
      </c>
      <c r="E636" s="328"/>
      <c r="F636" s="325" t="s">
        <v>438</v>
      </c>
      <c r="G636" s="329">
        <v>12740</v>
      </c>
      <c r="H636" s="327">
        <v>12740</v>
      </c>
    </row>
    <row r="637" spans="2:8" x14ac:dyDescent="0.25">
      <c r="B637" s="330" t="s">
        <v>244</v>
      </c>
      <c r="C637" s="326">
        <v>4</v>
      </c>
      <c r="D637" s="327" t="s">
        <v>684</v>
      </c>
      <c r="E637" s="328"/>
      <c r="F637" s="330" t="s">
        <v>439</v>
      </c>
      <c r="G637" s="329">
        <v>10972.175684478862</v>
      </c>
      <c r="H637" s="327">
        <v>10255.754125200001</v>
      </c>
    </row>
    <row r="638" spans="2:8" x14ac:dyDescent="0.25">
      <c r="B638" s="331" t="s">
        <v>740</v>
      </c>
      <c r="C638" s="332">
        <v>17</v>
      </c>
      <c r="D638" s="333">
        <v>94793.914122933798</v>
      </c>
      <c r="E638" s="334"/>
      <c r="F638" s="331" t="s">
        <v>435</v>
      </c>
      <c r="G638" s="335">
        <v>118506.08980741266</v>
      </c>
      <c r="H638" s="333">
        <v>103965.75412520001</v>
      </c>
    </row>
    <row r="639" spans="2:8" x14ac:dyDescent="0.25">
      <c r="B639" s="320" t="s">
        <v>345</v>
      </c>
      <c r="C639" s="321"/>
      <c r="D639" s="322"/>
      <c r="E639" s="323"/>
      <c r="F639" s="320" t="s">
        <v>345</v>
      </c>
      <c r="G639" s="324"/>
      <c r="H639" s="322"/>
    </row>
    <row r="640" spans="2:8" x14ac:dyDescent="0.25">
      <c r="B640" s="325" t="s">
        <v>46</v>
      </c>
      <c r="C640" s="326">
        <v>1</v>
      </c>
      <c r="D640" s="327" t="s">
        <v>684</v>
      </c>
      <c r="E640" s="328"/>
      <c r="F640" s="325" t="s">
        <v>437</v>
      </c>
      <c r="G640" s="329">
        <v>81070.972052807367</v>
      </c>
      <c r="H640" s="327">
        <v>66432</v>
      </c>
    </row>
    <row r="641" spans="2:8" x14ac:dyDescent="0.25">
      <c r="B641" s="325" t="s">
        <v>18</v>
      </c>
      <c r="C641" s="326">
        <v>14</v>
      </c>
      <c r="D641" s="327">
        <v>77397.411632024334</v>
      </c>
      <c r="E641" s="328"/>
      <c r="F641" s="325" t="s">
        <v>438</v>
      </c>
      <c r="G641" s="329">
        <v>12740</v>
      </c>
      <c r="H641" s="327">
        <v>12740</v>
      </c>
    </row>
    <row r="642" spans="2:8" x14ac:dyDescent="0.25">
      <c r="B642" s="330" t="s">
        <v>244</v>
      </c>
      <c r="C642" s="326">
        <v>4</v>
      </c>
      <c r="D642" s="327" t="s">
        <v>684</v>
      </c>
      <c r="E642" s="328"/>
      <c r="F642" s="330" t="s">
        <v>439</v>
      </c>
      <c r="G642" s="329">
        <v>9573.5510026509583</v>
      </c>
      <c r="H642" s="327">
        <v>8414.3541811200012</v>
      </c>
    </row>
    <row r="643" spans="2:8" x14ac:dyDescent="0.25">
      <c r="B643" s="331" t="s">
        <v>740</v>
      </c>
      <c r="C643" s="332">
        <v>19</v>
      </c>
      <c r="D643" s="333">
        <v>81070.972052807367</v>
      </c>
      <c r="E643" s="334"/>
      <c r="F643" s="331" t="s">
        <v>435</v>
      </c>
      <c r="G643" s="335">
        <v>103384.52305545832</v>
      </c>
      <c r="H643" s="333">
        <v>87586.354181119998</v>
      </c>
    </row>
    <row r="644" spans="2:8" x14ac:dyDescent="0.25">
      <c r="B644" s="320" t="s">
        <v>346</v>
      </c>
      <c r="C644" s="321"/>
      <c r="D644" s="322"/>
      <c r="E644" s="323"/>
      <c r="F644" s="320" t="s">
        <v>346</v>
      </c>
      <c r="G644" s="324"/>
      <c r="H644" s="322"/>
    </row>
    <row r="645" spans="2:8" x14ac:dyDescent="0.25">
      <c r="B645" s="325" t="s">
        <v>46</v>
      </c>
      <c r="C645" s="326">
        <v>5</v>
      </c>
      <c r="D645" s="327">
        <v>74297.600000000006</v>
      </c>
      <c r="E645" s="328"/>
      <c r="F645" s="325" t="s">
        <v>437</v>
      </c>
      <c r="G645" s="329">
        <v>79100.274580799407</v>
      </c>
      <c r="H645" s="327">
        <v>69864</v>
      </c>
    </row>
    <row r="646" spans="2:8" x14ac:dyDescent="0.25">
      <c r="B646" s="325" t="s">
        <v>18</v>
      </c>
      <c r="C646" s="326">
        <v>14</v>
      </c>
      <c r="D646" s="327">
        <v>76413.166922269855</v>
      </c>
      <c r="E646" s="328"/>
      <c r="F646" s="325" t="s">
        <v>438</v>
      </c>
      <c r="G646" s="329">
        <v>12740</v>
      </c>
      <c r="H646" s="327">
        <v>12740</v>
      </c>
    </row>
    <row r="647" spans="2:8" x14ac:dyDescent="0.25">
      <c r="B647" s="330" t="s">
        <v>244</v>
      </c>
      <c r="C647" s="326">
        <v>4</v>
      </c>
      <c r="D647" s="327" t="s">
        <v>684</v>
      </c>
      <c r="E647" s="328"/>
      <c r="F647" s="330" t="s">
        <v>439</v>
      </c>
      <c r="G647" s="329">
        <v>9615.2899633149391</v>
      </c>
      <c r="H647" s="327">
        <v>8849.0552822400005</v>
      </c>
    </row>
    <row r="648" spans="2:8" x14ac:dyDescent="0.25">
      <c r="B648" s="331" t="s">
        <v>740</v>
      </c>
      <c r="C648" s="332">
        <v>23</v>
      </c>
      <c r="D648" s="333">
        <v>79100.274580799407</v>
      </c>
      <c r="E648" s="334"/>
      <c r="F648" s="331" t="s">
        <v>435</v>
      </c>
      <c r="G648" s="335">
        <v>101455.56454411434</v>
      </c>
      <c r="H648" s="333">
        <v>91453.055282240006</v>
      </c>
    </row>
    <row r="649" spans="2:8" x14ac:dyDescent="0.25">
      <c r="B649" s="320" t="s">
        <v>347</v>
      </c>
      <c r="C649" s="321"/>
      <c r="D649" s="322"/>
      <c r="E649" s="323"/>
      <c r="F649" s="320" t="s">
        <v>347</v>
      </c>
      <c r="G649" s="324"/>
      <c r="H649" s="322"/>
    </row>
    <row r="650" spans="2:8" x14ac:dyDescent="0.25">
      <c r="B650" s="325" t="s">
        <v>46</v>
      </c>
      <c r="C650" s="326">
        <v>2</v>
      </c>
      <c r="D650" s="327" t="s">
        <v>684</v>
      </c>
      <c r="E650" s="328"/>
      <c r="F650" s="325" t="s">
        <v>437</v>
      </c>
      <c r="G650" s="329">
        <v>64314.551406522281</v>
      </c>
      <c r="H650" s="327">
        <v>40938</v>
      </c>
    </row>
    <row r="651" spans="2:8" x14ac:dyDescent="0.25">
      <c r="B651" s="325" t="s">
        <v>18</v>
      </c>
      <c r="C651" s="326">
        <v>9</v>
      </c>
      <c r="D651" s="327">
        <v>60621.054219566853</v>
      </c>
      <c r="E651" s="328"/>
      <c r="F651" s="325" t="s">
        <v>438</v>
      </c>
      <c r="G651" s="329">
        <v>13536.25</v>
      </c>
      <c r="H651" s="327">
        <v>12740</v>
      </c>
    </row>
    <row r="652" spans="2:8" x14ac:dyDescent="0.25">
      <c r="B652" s="330" t="s">
        <v>244</v>
      </c>
      <c r="C652" s="326">
        <v>1</v>
      </c>
      <c r="D652" s="327" t="s">
        <v>684</v>
      </c>
      <c r="E652" s="328"/>
      <c r="F652" s="330" t="s">
        <v>439</v>
      </c>
      <c r="G652" s="329">
        <v>7725.8174662809306</v>
      </c>
      <c r="H652" s="327">
        <v>5185.2545680800004</v>
      </c>
    </row>
    <row r="653" spans="2:8" x14ac:dyDescent="0.25">
      <c r="B653" s="331" t="s">
        <v>740</v>
      </c>
      <c r="C653" s="332">
        <v>12</v>
      </c>
      <c r="D653" s="333">
        <v>64314.551406522281</v>
      </c>
      <c r="E653" s="334"/>
      <c r="F653" s="331" t="s">
        <v>435</v>
      </c>
      <c r="G653" s="335">
        <v>85576.618872803214</v>
      </c>
      <c r="H653" s="333">
        <v>58863.254568080003</v>
      </c>
    </row>
    <row r="654" spans="2:8" x14ac:dyDescent="0.25">
      <c r="B654" s="320" t="s">
        <v>348</v>
      </c>
      <c r="C654" s="321"/>
      <c r="D654" s="322"/>
      <c r="E654" s="323"/>
      <c r="F654" s="320" t="s">
        <v>348</v>
      </c>
      <c r="G654" s="324"/>
      <c r="H654" s="322"/>
    </row>
    <row r="655" spans="2:8" x14ac:dyDescent="0.25">
      <c r="B655" s="325" t="s">
        <v>46</v>
      </c>
      <c r="C655" s="326">
        <v>5</v>
      </c>
      <c r="D655" s="327">
        <v>66137.5</v>
      </c>
      <c r="E655" s="328"/>
      <c r="F655" s="325" t="s">
        <v>437</v>
      </c>
      <c r="G655" s="329">
        <v>59741.710945862586</v>
      </c>
      <c r="H655" s="327">
        <v>47238</v>
      </c>
    </row>
    <row r="656" spans="2:8" x14ac:dyDescent="0.25">
      <c r="B656" s="325" t="s">
        <v>18</v>
      </c>
      <c r="C656" s="326">
        <v>10</v>
      </c>
      <c r="D656" s="327">
        <v>51947.632837587764</v>
      </c>
      <c r="E656" s="328"/>
      <c r="F656" s="325" t="s">
        <v>438</v>
      </c>
      <c r="G656" s="329">
        <v>12740</v>
      </c>
      <c r="H656" s="327">
        <v>12740</v>
      </c>
    </row>
    <row r="657" spans="2:8" x14ac:dyDescent="0.25">
      <c r="B657" s="330" t="s">
        <v>244</v>
      </c>
      <c r="C657" s="326">
        <v>3</v>
      </c>
      <c r="D657" s="327" t="s">
        <v>684</v>
      </c>
      <c r="E657" s="328"/>
      <c r="F657" s="330" t="s">
        <v>439</v>
      </c>
      <c r="G657" s="329">
        <v>7129.715128559299</v>
      </c>
      <c r="H657" s="327">
        <v>5983.2198760800002</v>
      </c>
    </row>
    <row r="658" spans="2:8" x14ac:dyDescent="0.25">
      <c r="B658" s="331" t="s">
        <v>740</v>
      </c>
      <c r="C658" s="332">
        <v>18</v>
      </c>
      <c r="D658" s="333">
        <v>59741.710945862586</v>
      </c>
      <c r="E658" s="334"/>
      <c r="F658" s="331" t="s">
        <v>435</v>
      </c>
      <c r="G658" s="335">
        <v>79611.426074421877</v>
      </c>
      <c r="H658" s="333">
        <v>65961.219876079995</v>
      </c>
    </row>
    <row r="659" spans="2:8" x14ac:dyDescent="0.25">
      <c r="B659" s="320" t="s">
        <v>349</v>
      </c>
      <c r="C659" s="321"/>
      <c r="D659" s="322"/>
      <c r="E659" s="323"/>
      <c r="F659" s="320" t="s">
        <v>349</v>
      </c>
      <c r="G659" s="324"/>
      <c r="H659" s="322"/>
    </row>
    <row r="660" spans="2:8" x14ac:dyDescent="0.25">
      <c r="B660" s="325" t="s">
        <v>46</v>
      </c>
      <c r="C660" s="326">
        <v>5</v>
      </c>
      <c r="D660" s="327">
        <v>78865.680929848124</v>
      </c>
      <c r="E660" s="328"/>
      <c r="F660" s="325" t="s">
        <v>437</v>
      </c>
      <c r="G660" s="329">
        <v>81072.054500068203</v>
      </c>
      <c r="H660" s="327">
        <v>58734</v>
      </c>
    </row>
    <row r="661" spans="2:8" x14ac:dyDescent="0.25">
      <c r="B661" s="325" t="s">
        <v>18</v>
      </c>
      <c r="C661" s="326">
        <v>15</v>
      </c>
      <c r="D661" s="327">
        <v>80240.482570356471</v>
      </c>
      <c r="E661" s="328"/>
      <c r="F661" s="325" t="s">
        <v>438</v>
      </c>
      <c r="G661" s="329">
        <v>13536.25</v>
      </c>
      <c r="H661" s="327">
        <v>12740</v>
      </c>
    </row>
    <row r="662" spans="2:8" x14ac:dyDescent="0.25">
      <c r="B662" s="330" t="s">
        <v>244</v>
      </c>
      <c r="C662" s="326">
        <v>1</v>
      </c>
      <c r="D662" s="327" t="s">
        <v>684</v>
      </c>
      <c r="E662" s="328"/>
      <c r="F662" s="330" t="s">
        <v>439</v>
      </c>
      <c r="G662" s="329">
        <v>10076.757279022515</v>
      </c>
      <c r="H662" s="327">
        <v>7439.3165714400011</v>
      </c>
    </row>
    <row r="663" spans="2:8" x14ac:dyDescent="0.25">
      <c r="B663" s="331" t="s">
        <v>740</v>
      </c>
      <c r="C663" s="332">
        <v>21</v>
      </c>
      <c r="D663" s="333">
        <v>81072.054500068203</v>
      </c>
      <c r="E663" s="334"/>
      <c r="F663" s="331" t="s">
        <v>435</v>
      </c>
      <c r="G663" s="335">
        <v>104685.06177909071</v>
      </c>
      <c r="H663" s="333">
        <v>78913.316571439995</v>
      </c>
    </row>
    <row r="664" spans="2:8" x14ac:dyDescent="0.25">
      <c r="B664" s="320" t="s">
        <v>350</v>
      </c>
      <c r="C664" s="321"/>
      <c r="D664" s="322"/>
      <c r="E664" s="323"/>
      <c r="F664" s="320" t="s">
        <v>350</v>
      </c>
      <c r="G664" s="324"/>
      <c r="H664" s="322"/>
    </row>
    <row r="665" spans="2:8" x14ac:dyDescent="0.25">
      <c r="B665" s="325" t="s">
        <v>46</v>
      </c>
      <c r="C665" s="326">
        <v>4</v>
      </c>
      <c r="D665" s="327" t="s">
        <v>684</v>
      </c>
      <c r="E665" s="328"/>
      <c r="F665" s="325" t="s">
        <v>437</v>
      </c>
      <c r="G665" s="329">
        <v>82756.758857773923</v>
      </c>
      <c r="H665" s="327">
        <v>60228</v>
      </c>
    </row>
    <row r="666" spans="2:8" x14ac:dyDescent="0.25">
      <c r="B666" s="325" t="s">
        <v>18</v>
      </c>
      <c r="C666" s="326">
        <v>12</v>
      </c>
      <c r="D666" s="327">
        <v>80870.838196246681</v>
      </c>
      <c r="E666" s="328"/>
      <c r="F666" s="325" t="s">
        <v>438</v>
      </c>
      <c r="G666" s="329">
        <v>12740</v>
      </c>
      <c r="H666" s="327">
        <v>12740</v>
      </c>
    </row>
    <row r="667" spans="2:8" x14ac:dyDescent="0.25">
      <c r="B667" s="330" t="s">
        <v>244</v>
      </c>
      <c r="C667" s="326">
        <v>4</v>
      </c>
      <c r="D667" s="327" t="s">
        <v>684</v>
      </c>
      <c r="E667" s="328"/>
      <c r="F667" s="330" t="s">
        <v>439</v>
      </c>
      <c r="G667" s="329">
        <v>10072.300016619192</v>
      </c>
      <c r="H667" s="327">
        <v>7628.5483444800002</v>
      </c>
    </row>
    <row r="668" spans="2:8" x14ac:dyDescent="0.25">
      <c r="B668" s="331" t="s">
        <v>740</v>
      </c>
      <c r="C668" s="332">
        <v>20</v>
      </c>
      <c r="D668" s="333">
        <v>82756.758857773923</v>
      </c>
      <c r="E668" s="334"/>
      <c r="F668" s="331" t="s">
        <v>435</v>
      </c>
      <c r="G668" s="335">
        <v>105569.05887439311</v>
      </c>
      <c r="H668" s="333">
        <v>80596.548344480005</v>
      </c>
    </row>
    <row r="669" spans="2:8" x14ac:dyDescent="0.25">
      <c r="B669" s="320" t="s">
        <v>351</v>
      </c>
      <c r="C669" s="321"/>
      <c r="D669" s="322"/>
      <c r="E669" s="323"/>
      <c r="F669" s="320" t="s">
        <v>351</v>
      </c>
      <c r="G669" s="324"/>
      <c r="H669" s="322"/>
    </row>
    <row r="670" spans="2:8" x14ac:dyDescent="0.25">
      <c r="B670" s="325" t="s">
        <v>46</v>
      </c>
      <c r="C670" s="326">
        <v>5</v>
      </c>
      <c r="D670" s="327">
        <v>66314.880000000005</v>
      </c>
      <c r="E670" s="328"/>
      <c r="F670" s="325" t="s">
        <v>437</v>
      </c>
      <c r="G670" s="329">
        <v>56520.243495389899</v>
      </c>
      <c r="H670" s="327">
        <v>52008</v>
      </c>
    </row>
    <row r="671" spans="2:8" x14ac:dyDescent="0.25">
      <c r="B671" s="325" t="s">
        <v>18</v>
      </c>
      <c r="C671" s="326">
        <v>5</v>
      </c>
      <c r="D671" s="327">
        <v>55558.031067961172</v>
      </c>
      <c r="E671" s="328"/>
      <c r="F671" s="325" t="s">
        <v>438</v>
      </c>
      <c r="G671" s="329">
        <v>12740</v>
      </c>
      <c r="H671" s="327">
        <v>12740</v>
      </c>
    </row>
    <row r="672" spans="2:8" x14ac:dyDescent="0.25">
      <c r="B672" s="330" t="s">
        <v>244</v>
      </c>
      <c r="C672" s="326">
        <v>4</v>
      </c>
      <c r="D672" s="327" t="s">
        <v>684</v>
      </c>
      <c r="E672" s="328"/>
      <c r="F672" s="330" t="s">
        <v>439</v>
      </c>
      <c r="G672" s="329">
        <v>7822.2285241911432</v>
      </c>
      <c r="H672" s="327">
        <v>6587.3936092800004</v>
      </c>
    </row>
    <row r="673" spans="2:8" x14ac:dyDescent="0.25">
      <c r="B673" s="331" t="s">
        <v>740</v>
      </c>
      <c r="C673" s="332">
        <v>14</v>
      </c>
      <c r="D673" s="333">
        <v>56520.243495389899</v>
      </c>
      <c r="E673" s="334"/>
      <c r="F673" s="331" t="s">
        <v>435</v>
      </c>
      <c r="G673" s="335">
        <v>77082.472019581051</v>
      </c>
      <c r="H673" s="333">
        <v>71335.39360928</v>
      </c>
    </row>
    <row r="674" spans="2:8" x14ac:dyDescent="0.25">
      <c r="B674" s="320" t="s">
        <v>352</v>
      </c>
      <c r="C674" s="321"/>
      <c r="D674" s="322"/>
      <c r="E674" s="323"/>
      <c r="F674" s="320" t="s">
        <v>352</v>
      </c>
      <c r="G674" s="324"/>
      <c r="H674" s="322"/>
    </row>
    <row r="675" spans="2:8" x14ac:dyDescent="0.25">
      <c r="B675" s="325" t="s">
        <v>46</v>
      </c>
      <c r="C675" s="326">
        <v>9</v>
      </c>
      <c r="D675" s="327">
        <v>87651.199999999997</v>
      </c>
      <c r="E675" s="328"/>
      <c r="F675" s="325" t="s">
        <v>437</v>
      </c>
      <c r="G675" s="329">
        <v>86124.6</v>
      </c>
      <c r="H675" s="327">
        <v>79002</v>
      </c>
    </row>
    <row r="676" spans="2:8" x14ac:dyDescent="0.25">
      <c r="B676" s="325" t="s">
        <v>18</v>
      </c>
      <c r="C676" s="326">
        <v>0</v>
      </c>
      <c r="D676" s="327" t="s">
        <v>684</v>
      </c>
      <c r="E676" s="328"/>
      <c r="F676" s="325" t="s">
        <v>438</v>
      </c>
      <c r="G676" s="329">
        <v>12740</v>
      </c>
      <c r="H676" s="327">
        <v>12740</v>
      </c>
    </row>
    <row r="677" spans="2:8" x14ac:dyDescent="0.25">
      <c r="B677" s="330" t="s">
        <v>244</v>
      </c>
      <c r="C677" s="326">
        <v>4</v>
      </c>
      <c r="D677" s="327" t="s">
        <v>684</v>
      </c>
      <c r="E677" s="328"/>
      <c r="F677" s="330" t="s">
        <v>439</v>
      </c>
      <c r="G677" s="329">
        <v>9736.9597361230844</v>
      </c>
      <c r="H677" s="327">
        <v>10006.484962320001</v>
      </c>
    </row>
    <row r="678" spans="2:8" x14ac:dyDescent="0.25">
      <c r="B678" s="331" t="s">
        <v>740</v>
      </c>
      <c r="C678" s="332">
        <v>13</v>
      </c>
      <c r="D678" s="333">
        <v>86124.6</v>
      </c>
      <c r="E678" s="334"/>
      <c r="F678" s="331" t="s">
        <v>435</v>
      </c>
      <c r="G678" s="335">
        <v>108601.55973612309</v>
      </c>
      <c r="H678" s="333">
        <v>101748.48496232</v>
      </c>
    </row>
    <row r="679" spans="2:8" x14ac:dyDescent="0.25">
      <c r="B679" s="320" t="s">
        <v>353</v>
      </c>
      <c r="C679" s="321"/>
      <c r="D679" s="322"/>
      <c r="E679" s="323"/>
      <c r="F679" s="320" t="s">
        <v>353</v>
      </c>
      <c r="G679" s="324"/>
      <c r="H679" s="322"/>
    </row>
    <row r="680" spans="2:8" x14ac:dyDescent="0.25">
      <c r="B680" s="325" t="s">
        <v>46</v>
      </c>
      <c r="C680" s="326">
        <v>7</v>
      </c>
      <c r="D680" s="327">
        <v>97136</v>
      </c>
      <c r="E680" s="328"/>
      <c r="F680" s="325" t="s">
        <v>437</v>
      </c>
      <c r="G680" s="329">
        <v>96268</v>
      </c>
      <c r="H680" s="327">
        <v>69864</v>
      </c>
    </row>
    <row r="681" spans="2:8" x14ac:dyDescent="0.25">
      <c r="B681" s="325" t="s">
        <v>18</v>
      </c>
      <c r="C681" s="326">
        <v>0</v>
      </c>
      <c r="D681" s="327" t="s">
        <v>684</v>
      </c>
      <c r="E681" s="328"/>
      <c r="F681" s="325" t="s">
        <v>438</v>
      </c>
      <c r="G681" s="329">
        <v>12740</v>
      </c>
      <c r="H681" s="327">
        <v>12740</v>
      </c>
    </row>
    <row r="682" spans="2:8" x14ac:dyDescent="0.25">
      <c r="B682" s="330" t="s">
        <v>244</v>
      </c>
      <c r="C682" s="326">
        <v>3</v>
      </c>
      <c r="D682" s="327" t="s">
        <v>684</v>
      </c>
      <c r="E682" s="328"/>
      <c r="F682" s="330" t="s">
        <v>439</v>
      </c>
      <c r="G682" s="329">
        <v>10670.789979555386</v>
      </c>
      <c r="H682" s="327">
        <v>8849.0552822400005</v>
      </c>
    </row>
    <row r="683" spans="2:8" x14ac:dyDescent="0.25">
      <c r="B683" s="331" t="s">
        <v>740</v>
      </c>
      <c r="C683" s="332">
        <v>10</v>
      </c>
      <c r="D683" s="333">
        <v>96268</v>
      </c>
      <c r="E683" s="334"/>
      <c r="F683" s="331" t="s">
        <v>435</v>
      </c>
      <c r="G683" s="335">
        <v>119678.78997955538</v>
      </c>
      <c r="H683" s="333">
        <v>91453.055282240006</v>
      </c>
    </row>
    <row r="684" spans="2:8" x14ac:dyDescent="0.25">
      <c r="B684" s="320" t="s">
        <v>354</v>
      </c>
      <c r="C684" s="321"/>
      <c r="D684" s="322"/>
      <c r="E684" s="323"/>
      <c r="F684" s="320" t="s">
        <v>354</v>
      </c>
      <c r="G684" s="324"/>
      <c r="H684" s="322"/>
    </row>
    <row r="685" spans="2:8" x14ac:dyDescent="0.25">
      <c r="B685" s="325" t="s">
        <v>46</v>
      </c>
      <c r="C685" s="326">
        <v>21</v>
      </c>
      <c r="D685" s="327">
        <v>117500</v>
      </c>
      <c r="E685" s="328"/>
      <c r="F685" s="325" t="s">
        <v>437</v>
      </c>
      <c r="G685" s="329">
        <v>114900</v>
      </c>
      <c r="H685" s="327">
        <v>82992</v>
      </c>
    </row>
    <row r="686" spans="2:8" x14ac:dyDescent="0.25">
      <c r="B686" s="325" t="s">
        <v>18</v>
      </c>
      <c r="C686" s="326">
        <v>0</v>
      </c>
      <c r="D686" s="327" t="s">
        <v>684</v>
      </c>
      <c r="E686" s="328"/>
      <c r="F686" s="325" t="s">
        <v>438</v>
      </c>
      <c r="G686" s="329">
        <v>13536.25</v>
      </c>
      <c r="H686" s="327">
        <v>12740</v>
      </c>
    </row>
    <row r="687" spans="2:8" x14ac:dyDescent="0.25">
      <c r="B687" s="330" t="s">
        <v>244</v>
      </c>
      <c r="C687" s="326">
        <v>5</v>
      </c>
      <c r="D687" s="327">
        <v>112300</v>
      </c>
      <c r="E687" s="328"/>
      <c r="F687" s="330" t="s">
        <v>439</v>
      </c>
      <c r="G687" s="329">
        <v>14433.913144004</v>
      </c>
      <c r="H687" s="327">
        <v>10511.862990720001</v>
      </c>
    </row>
    <row r="688" spans="2:8" x14ac:dyDescent="0.25">
      <c r="B688" s="331" t="s">
        <v>740</v>
      </c>
      <c r="C688" s="332">
        <v>26</v>
      </c>
      <c r="D688" s="333">
        <v>114900</v>
      </c>
      <c r="E688" s="334"/>
      <c r="F688" s="331" t="s">
        <v>435</v>
      </c>
      <c r="G688" s="335">
        <v>142870.16314400401</v>
      </c>
      <c r="H688" s="333">
        <v>106243.86299071999</v>
      </c>
    </row>
    <row r="689" spans="2:8" x14ac:dyDescent="0.25">
      <c r="B689" s="320" t="s">
        <v>355</v>
      </c>
      <c r="C689" s="321"/>
      <c r="D689" s="322"/>
      <c r="E689" s="323"/>
      <c r="F689" s="320" t="s">
        <v>355</v>
      </c>
      <c r="G689" s="324"/>
      <c r="H689" s="322"/>
    </row>
    <row r="690" spans="2:8" x14ac:dyDescent="0.25">
      <c r="B690" s="325" t="s">
        <v>46</v>
      </c>
      <c r="C690" s="326">
        <v>5</v>
      </c>
      <c r="D690" s="327">
        <v>93558.399999999994</v>
      </c>
      <c r="E690" s="328"/>
      <c r="F690" s="325" t="s">
        <v>437</v>
      </c>
      <c r="G690" s="329">
        <v>110922.2</v>
      </c>
      <c r="H690" s="327">
        <v>87192</v>
      </c>
    </row>
    <row r="691" spans="2:8" x14ac:dyDescent="0.25">
      <c r="B691" s="325" t="s">
        <v>18</v>
      </c>
      <c r="C691" s="326">
        <v>0</v>
      </c>
      <c r="D691" s="327" t="s">
        <v>684</v>
      </c>
      <c r="E691" s="328"/>
      <c r="F691" s="325" t="s">
        <v>438</v>
      </c>
      <c r="G691" s="329">
        <v>12740</v>
      </c>
      <c r="H691" s="327">
        <v>12740</v>
      </c>
    </row>
    <row r="692" spans="2:8" x14ac:dyDescent="0.25">
      <c r="B692" s="330" t="s">
        <v>244</v>
      </c>
      <c r="C692" s="326">
        <v>6</v>
      </c>
      <c r="D692" s="327">
        <v>128286</v>
      </c>
      <c r="E692" s="328"/>
      <c r="F692" s="330" t="s">
        <v>439</v>
      </c>
      <c r="G692" s="329">
        <v>5622.52</v>
      </c>
      <c r="H692" s="327">
        <v>11043.839862720002</v>
      </c>
    </row>
    <row r="693" spans="2:8" x14ac:dyDescent="0.25">
      <c r="B693" s="331" t="s">
        <v>740</v>
      </c>
      <c r="C693" s="332">
        <v>11</v>
      </c>
      <c r="D693" s="333">
        <v>110922.2</v>
      </c>
      <c r="E693" s="334"/>
      <c r="F693" s="331" t="s">
        <v>435</v>
      </c>
      <c r="G693" s="335">
        <v>129284.72</v>
      </c>
      <c r="H693" s="333">
        <v>110975.83986272001</v>
      </c>
    </row>
    <row r="694" spans="2:8" x14ac:dyDescent="0.25">
      <c r="B694" s="320" t="s">
        <v>356</v>
      </c>
      <c r="C694" s="321"/>
      <c r="D694" s="322"/>
      <c r="E694" s="323"/>
      <c r="F694" s="320" t="s">
        <v>356</v>
      </c>
      <c r="G694" s="324"/>
      <c r="H694" s="322"/>
    </row>
    <row r="695" spans="2:8" x14ac:dyDescent="0.25">
      <c r="B695" s="325" t="s">
        <v>46</v>
      </c>
      <c r="C695" s="326">
        <v>13</v>
      </c>
      <c r="D695" s="327">
        <v>79300</v>
      </c>
      <c r="E695" s="328"/>
      <c r="F695" s="325" t="s">
        <v>437</v>
      </c>
      <c r="G695" s="329">
        <v>73800</v>
      </c>
      <c r="H695" s="327">
        <v>58734</v>
      </c>
    </row>
    <row r="696" spans="2:8" x14ac:dyDescent="0.25">
      <c r="B696" s="325" t="s">
        <v>18</v>
      </c>
      <c r="C696" s="326">
        <v>0</v>
      </c>
      <c r="D696" s="327" t="s">
        <v>684</v>
      </c>
      <c r="E696" s="328"/>
      <c r="F696" s="325" t="s">
        <v>438</v>
      </c>
      <c r="G696" s="329">
        <v>13536.25</v>
      </c>
      <c r="H696" s="327">
        <v>12740</v>
      </c>
    </row>
    <row r="697" spans="2:8" x14ac:dyDescent="0.25">
      <c r="B697" s="330" t="s">
        <v>244</v>
      </c>
      <c r="C697" s="326">
        <v>5</v>
      </c>
      <c r="D697" s="327">
        <v>68300</v>
      </c>
      <c r="E697" s="328"/>
      <c r="F697" s="330" t="s">
        <v>439</v>
      </c>
      <c r="G697" s="329">
        <v>8881.2622531003235</v>
      </c>
      <c r="H697" s="327">
        <v>7439.3165714400011</v>
      </c>
    </row>
    <row r="698" spans="2:8" x14ac:dyDescent="0.25">
      <c r="B698" s="331" t="s">
        <v>740</v>
      </c>
      <c r="C698" s="332">
        <v>18</v>
      </c>
      <c r="D698" s="333">
        <v>73800</v>
      </c>
      <c r="E698" s="334"/>
      <c r="F698" s="331" t="s">
        <v>435</v>
      </c>
      <c r="G698" s="335">
        <v>96217.512253100329</v>
      </c>
      <c r="H698" s="333">
        <v>78913.316571439995</v>
      </c>
    </row>
    <row r="699" spans="2:8" x14ac:dyDescent="0.25">
      <c r="B699" s="320" t="s">
        <v>357</v>
      </c>
      <c r="C699" s="321"/>
      <c r="D699" s="322"/>
      <c r="E699" s="323"/>
      <c r="F699" s="320" t="s">
        <v>357</v>
      </c>
      <c r="G699" s="324"/>
      <c r="H699" s="322"/>
    </row>
    <row r="700" spans="2:8" x14ac:dyDescent="0.25">
      <c r="B700" s="325" t="s">
        <v>46</v>
      </c>
      <c r="C700" s="326">
        <v>4</v>
      </c>
      <c r="D700" s="327" t="s">
        <v>684</v>
      </c>
      <c r="E700" s="328"/>
      <c r="F700" s="325" t="s">
        <v>437</v>
      </c>
      <c r="G700" s="329">
        <v>98104.73873201145</v>
      </c>
      <c r="H700" s="327">
        <v>82992</v>
      </c>
    </row>
    <row r="701" spans="2:8" x14ac:dyDescent="0.25">
      <c r="B701" s="325" t="s">
        <v>18</v>
      </c>
      <c r="C701" s="326">
        <v>10</v>
      </c>
      <c r="D701" s="327">
        <v>95715.543200643646</v>
      </c>
      <c r="E701" s="328"/>
      <c r="F701" s="325" t="s">
        <v>438</v>
      </c>
      <c r="G701" s="329">
        <v>12740</v>
      </c>
      <c r="H701" s="327">
        <v>12740</v>
      </c>
    </row>
    <row r="702" spans="2:8" x14ac:dyDescent="0.25">
      <c r="B702" s="330" t="s">
        <v>244</v>
      </c>
      <c r="C702" s="326">
        <v>4</v>
      </c>
      <c r="D702" s="327" t="s">
        <v>684</v>
      </c>
      <c r="E702" s="328"/>
      <c r="F702" s="330" t="s">
        <v>439</v>
      </c>
      <c r="G702" s="329">
        <v>12326.324970998019</v>
      </c>
      <c r="H702" s="327">
        <v>10511.862990720001</v>
      </c>
    </row>
    <row r="703" spans="2:8" x14ac:dyDescent="0.25">
      <c r="B703" s="331" t="s">
        <v>740</v>
      </c>
      <c r="C703" s="332">
        <v>18</v>
      </c>
      <c r="D703" s="333">
        <v>98104.73873201145</v>
      </c>
      <c r="E703" s="334"/>
      <c r="F703" s="331" t="s">
        <v>435</v>
      </c>
      <c r="G703" s="335">
        <v>123171.06370300947</v>
      </c>
      <c r="H703" s="333">
        <v>106243.86299071999</v>
      </c>
    </row>
    <row r="704" spans="2:8" x14ac:dyDescent="0.25">
      <c r="B704" s="320" t="s">
        <v>358</v>
      </c>
      <c r="C704" s="321"/>
      <c r="D704" s="322"/>
      <c r="E704" s="323"/>
      <c r="F704" s="320" t="s">
        <v>358</v>
      </c>
      <c r="G704" s="324"/>
      <c r="H704" s="322"/>
    </row>
    <row r="705" spans="2:8" x14ac:dyDescent="0.25">
      <c r="B705" s="325" t="s">
        <v>46</v>
      </c>
      <c r="C705" s="326">
        <v>9</v>
      </c>
      <c r="D705" s="327">
        <v>79392</v>
      </c>
      <c r="E705" s="328"/>
      <c r="F705" s="325" t="s">
        <v>437</v>
      </c>
      <c r="G705" s="329">
        <v>76820.5</v>
      </c>
      <c r="H705" s="327">
        <v>48336</v>
      </c>
    </row>
    <row r="706" spans="2:8" x14ac:dyDescent="0.25">
      <c r="B706" s="325" t="s">
        <v>18</v>
      </c>
      <c r="C706" s="326">
        <v>0</v>
      </c>
      <c r="D706" s="327" t="s">
        <v>684</v>
      </c>
      <c r="E706" s="328"/>
      <c r="F706" s="325" t="s">
        <v>438</v>
      </c>
      <c r="G706" s="329">
        <v>12740</v>
      </c>
      <c r="H706" s="327">
        <v>12740</v>
      </c>
    </row>
    <row r="707" spans="2:8" x14ac:dyDescent="0.25">
      <c r="B707" s="330" t="s">
        <v>244</v>
      </c>
      <c r="C707" s="326">
        <v>4</v>
      </c>
      <c r="D707" s="327" t="s">
        <v>684</v>
      </c>
      <c r="E707" s="328"/>
      <c r="F707" s="330" t="s">
        <v>439</v>
      </c>
      <c r="G707" s="329">
        <v>9357.4731784800006</v>
      </c>
      <c r="H707" s="327">
        <v>6122.2938297600003</v>
      </c>
    </row>
    <row r="708" spans="2:8" x14ac:dyDescent="0.25">
      <c r="B708" s="331" t="s">
        <v>740</v>
      </c>
      <c r="C708" s="332">
        <v>13</v>
      </c>
      <c r="D708" s="333">
        <v>76820.5</v>
      </c>
      <c r="E708" s="334"/>
      <c r="F708" s="331" t="s">
        <v>435</v>
      </c>
      <c r="G708" s="335">
        <v>98917.973178479995</v>
      </c>
      <c r="H708" s="333">
        <v>67198.293829760005</v>
      </c>
    </row>
    <row r="709" spans="2:8" x14ac:dyDescent="0.25">
      <c r="B709" s="320" t="s">
        <v>359</v>
      </c>
      <c r="C709" s="321"/>
      <c r="D709" s="322"/>
      <c r="E709" s="323"/>
      <c r="F709" s="320" t="s">
        <v>359</v>
      </c>
      <c r="G709" s="324"/>
      <c r="H709" s="322"/>
    </row>
    <row r="710" spans="2:8" x14ac:dyDescent="0.25">
      <c r="B710" s="325" t="s">
        <v>46</v>
      </c>
      <c r="C710" s="326">
        <v>7</v>
      </c>
      <c r="D710" s="327">
        <v>77694.240000000005</v>
      </c>
      <c r="E710" s="328"/>
      <c r="F710" s="325" t="s">
        <v>437</v>
      </c>
      <c r="G710" s="329">
        <v>86522.294361253211</v>
      </c>
      <c r="H710" s="327">
        <v>66432</v>
      </c>
    </row>
    <row r="711" spans="2:8" x14ac:dyDescent="0.25">
      <c r="B711" s="325" t="s">
        <v>18</v>
      </c>
      <c r="C711" s="326">
        <v>0</v>
      </c>
      <c r="D711" s="327" t="s">
        <v>684</v>
      </c>
      <c r="E711" s="328"/>
      <c r="F711" s="325" t="s">
        <v>438</v>
      </c>
      <c r="G711" s="329">
        <v>12740</v>
      </c>
      <c r="H711" s="327">
        <v>12740</v>
      </c>
    </row>
    <row r="712" spans="2:8" x14ac:dyDescent="0.25">
      <c r="B712" s="330" t="s">
        <v>244</v>
      </c>
      <c r="C712" s="326">
        <v>4</v>
      </c>
      <c r="D712" s="327" t="s">
        <v>684</v>
      </c>
      <c r="E712" s="328"/>
      <c r="F712" s="330" t="s">
        <v>439</v>
      </c>
      <c r="G712" s="329">
        <v>8816.1821290401676</v>
      </c>
      <c r="H712" s="327">
        <v>8414.3541811200012</v>
      </c>
    </row>
    <row r="713" spans="2:8" x14ac:dyDescent="0.25">
      <c r="B713" s="331" t="s">
        <v>740</v>
      </c>
      <c r="C713" s="332">
        <v>11</v>
      </c>
      <c r="D713" s="333">
        <v>86522.294361253211</v>
      </c>
      <c r="E713" s="334"/>
      <c r="F713" s="331" t="s">
        <v>435</v>
      </c>
      <c r="G713" s="335">
        <v>108078.47649029338</v>
      </c>
      <c r="H713" s="333">
        <v>87586.354181119998</v>
      </c>
    </row>
    <row r="714" spans="2:8" x14ac:dyDescent="0.25">
      <c r="B714" s="320" t="s">
        <v>415</v>
      </c>
      <c r="C714" s="321"/>
      <c r="D714" s="322"/>
      <c r="E714" s="323"/>
      <c r="F714" s="320" t="s">
        <v>415</v>
      </c>
      <c r="G714" s="324"/>
      <c r="H714" s="322"/>
    </row>
    <row r="715" spans="2:8" x14ac:dyDescent="0.25">
      <c r="B715" s="325" t="s">
        <v>46</v>
      </c>
      <c r="C715" s="326">
        <v>2</v>
      </c>
      <c r="D715" s="327" t="s">
        <v>684</v>
      </c>
      <c r="E715" s="328"/>
      <c r="F715" s="325" t="s">
        <v>437</v>
      </c>
      <c r="G715" s="329">
        <v>108174.05112288136</v>
      </c>
      <c r="H715" s="327">
        <v>106242</v>
      </c>
    </row>
    <row r="716" spans="2:8" x14ac:dyDescent="0.25">
      <c r="B716" s="325" t="s">
        <v>18</v>
      </c>
      <c r="C716" s="326">
        <v>5</v>
      </c>
      <c r="D716" s="327">
        <v>105444.83474576271</v>
      </c>
      <c r="E716" s="328"/>
      <c r="F716" s="325" t="s">
        <v>438</v>
      </c>
      <c r="G716" s="329">
        <v>12740</v>
      </c>
      <c r="H716" s="327">
        <v>12740</v>
      </c>
    </row>
    <row r="717" spans="2:8" x14ac:dyDescent="0.25">
      <c r="B717" s="330" t="s">
        <v>244</v>
      </c>
      <c r="C717" s="326">
        <v>0</v>
      </c>
      <c r="D717" s="327" t="s">
        <v>684</v>
      </c>
      <c r="E717" s="328"/>
      <c r="F717" s="330" t="s">
        <v>439</v>
      </c>
      <c r="G717" s="329">
        <v>13699.358342028178</v>
      </c>
      <c r="H717" s="327">
        <v>13456.734960720001</v>
      </c>
    </row>
    <row r="718" spans="2:8" x14ac:dyDescent="0.25">
      <c r="B718" s="331" t="s">
        <v>740</v>
      </c>
      <c r="C718" s="332">
        <v>7</v>
      </c>
      <c r="D718" s="333">
        <v>108174.05112288136</v>
      </c>
      <c r="E718" s="334"/>
      <c r="F718" s="331" t="s">
        <v>435</v>
      </c>
      <c r="G718" s="335">
        <v>134613.40946490952</v>
      </c>
      <c r="H718" s="333">
        <v>132438.73496072</v>
      </c>
    </row>
    <row r="719" spans="2:8" x14ac:dyDescent="0.25">
      <c r="B719" s="320" t="s">
        <v>416</v>
      </c>
      <c r="C719" s="321"/>
      <c r="D719" s="322"/>
      <c r="E719" s="323"/>
      <c r="F719" s="320" t="s">
        <v>416</v>
      </c>
      <c r="G719" s="324"/>
      <c r="H719" s="322"/>
    </row>
    <row r="720" spans="2:8" x14ac:dyDescent="0.25">
      <c r="B720" s="325" t="s">
        <v>46</v>
      </c>
      <c r="C720" s="326">
        <v>4</v>
      </c>
      <c r="D720" s="327" t="s">
        <v>684</v>
      </c>
      <c r="E720" s="328"/>
      <c r="F720" s="325" t="s">
        <v>437</v>
      </c>
      <c r="G720" s="329">
        <v>110712.3285893533</v>
      </c>
      <c r="H720" s="327">
        <v>82992</v>
      </c>
    </row>
    <row r="721" spans="2:8" x14ac:dyDescent="0.25">
      <c r="B721" s="325" t="s">
        <v>18</v>
      </c>
      <c r="C721" s="326">
        <v>8</v>
      </c>
      <c r="D721" s="327">
        <v>99526.157178706606</v>
      </c>
      <c r="E721" s="328"/>
      <c r="F721" s="325" t="s">
        <v>438</v>
      </c>
      <c r="G721" s="329">
        <v>12740</v>
      </c>
      <c r="H721" s="327">
        <v>12740</v>
      </c>
    </row>
    <row r="722" spans="2:8" x14ac:dyDescent="0.25">
      <c r="B722" s="330" t="s">
        <v>244</v>
      </c>
      <c r="C722" s="326">
        <v>0</v>
      </c>
      <c r="D722" s="327" t="s">
        <v>684</v>
      </c>
      <c r="E722" s="328"/>
      <c r="F722" s="330" t="s">
        <v>439</v>
      </c>
      <c r="G722" s="329">
        <v>14502.413331176493</v>
      </c>
      <c r="H722" s="327">
        <v>10511.862990720001</v>
      </c>
    </row>
    <row r="723" spans="2:8" x14ac:dyDescent="0.25">
      <c r="B723" s="331" t="s">
        <v>740</v>
      </c>
      <c r="C723" s="332">
        <v>12</v>
      </c>
      <c r="D723" s="333">
        <v>110712.3285893533</v>
      </c>
      <c r="E723" s="334"/>
      <c r="F723" s="331" t="s">
        <v>435</v>
      </c>
      <c r="G723" s="335">
        <v>137954.74192052981</v>
      </c>
      <c r="H723" s="333">
        <v>106243.86299071999</v>
      </c>
    </row>
    <row r="724" spans="2:8" x14ac:dyDescent="0.25">
      <c r="B724" s="320" t="s">
        <v>360</v>
      </c>
      <c r="C724" s="321"/>
      <c r="D724" s="322"/>
      <c r="E724" s="323"/>
      <c r="F724" s="320" t="s">
        <v>360</v>
      </c>
      <c r="G724" s="324"/>
      <c r="H724" s="322"/>
    </row>
    <row r="725" spans="2:8" x14ac:dyDescent="0.25">
      <c r="B725" s="325" t="s">
        <v>46</v>
      </c>
      <c r="C725" s="326">
        <v>18</v>
      </c>
      <c r="D725" s="327">
        <v>62472.735000000001</v>
      </c>
      <c r="E725" s="328"/>
      <c r="F725" s="325" t="s">
        <v>437</v>
      </c>
      <c r="G725" s="329">
        <v>64723.1175</v>
      </c>
      <c r="H725" s="327">
        <v>48336</v>
      </c>
    </row>
    <row r="726" spans="2:8" x14ac:dyDescent="0.25">
      <c r="B726" s="325" t="s">
        <v>18</v>
      </c>
      <c r="C726" s="326">
        <v>0</v>
      </c>
      <c r="D726" s="327" t="s">
        <v>684</v>
      </c>
      <c r="E726" s="328"/>
      <c r="F726" s="325" t="s">
        <v>438</v>
      </c>
      <c r="G726" s="329">
        <v>12740</v>
      </c>
      <c r="H726" s="327">
        <v>12740</v>
      </c>
    </row>
    <row r="727" spans="2:8" x14ac:dyDescent="0.25">
      <c r="B727" s="330" t="s">
        <v>244</v>
      </c>
      <c r="C727" s="326">
        <v>5</v>
      </c>
      <c r="D727" s="327">
        <v>66973.5</v>
      </c>
      <c r="E727" s="328"/>
      <c r="F727" s="330" t="s">
        <v>439</v>
      </c>
      <c r="G727" s="329">
        <v>7499.3828192018937</v>
      </c>
      <c r="H727" s="327">
        <v>6122.2938297600003</v>
      </c>
    </row>
    <row r="728" spans="2:8" x14ac:dyDescent="0.25">
      <c r="B728" s="331" t="s">
        <v>740</v>
      </c>
      <c r="C728" s="332">
        <v>23</v>
      </c>
      <c r="D728" s="333">
        <v>64723.1175</v>
      </c>
      <c r="E728" s="334"/>
      <c r="F728" s="331" t="s">
        <v>435</v>
      </c>
      <c r="G728" s="335">
        <v>84962.500319201892</v>
      </c>
      <c r="H728" s="333">
        <v>67198.293829760005</v>
      </c>
    </row>
    <row r="729" spans="2:8" x14ac:dyDescent="0.25">
      <c r="B729" s="320" t="s">
        <v>361</v>
      </c>
      <c r="C729" s="321"/>
      <c r="D729" s="322"/>
      <c r="E729" s="323"/>
      <c r="F729" s="320" t="s">
        <v>361</v>
      </c>
      <c r="G729" s="324"/>
      <c r="H729" s="322"/>
    </row>
    <row r="730" spans="2:8" x14ac:dyDescent="0.25">
      <c r="B730" s="325" t="s">
        <v>46</v>
      </c>
      <c r="C730" s="326">
        <v>15</v>
      </c>
      <c r="D730" s="327">
        <v>78946.399999999994</v>
      </c>
      <c r="E730" s="328"/>
      <c r="F730" s="325" t="s">
        <v>437</v>
      </c>
      <c r="G730" s="329">
        <v>78573.2</v>
      </c>
      <c r="H730" s="327">
        <v>68112</v>
      </c>
    </row>
    <row r="731" spans="2:8" x14ac:dyDescent="0.25">
      <c r="B731" s="325" t="s">
        <v>18</v>
      </c>
      <c r="C731" s="326">
        <v>0</v>
      </c>
      <c r="D731" s="327" t="s">
        <v>684</v>
      </c>
      <c r="E731" s="328"/>
      <c r="F731" s="325" t="s">
        <v>438</v>
      </c>
      <c r="G731" s="329">
        <v>12740</v>
      </c>
      <c r="H731" s="327">
        <v>12740</v>
      </c>
    </row>
    <row r="732" spans="2:8" x14ac:dyDescent="0.25">
      <c r="B732" s="330" t="s">
        <v>244</v>
      </c>
      <c r="C732" s="326">
        <v>5</v>
      </c>
      <c r="D732" s="327">
        <v>78200</v>
      </c>
      <c r="E732" s="328"/>
      <c r="F732" s="330" t="s">
        <v>439</v>
      </c>
      <c r="G732" s="329">
        <v>9116.0152008339028</v>
      </c>
      <c r="H732" s="327">
        <v>8627.1449299200012</v>
      </c>
    </row>
    <row r="733" spans="2:8" x14ac:dyDescent="0.25">
      <c r="B733" s="331" t="s">
        <v>740</v>
      </c>
      <c r="C733" s="332">
        <v>20</v>
      </c>
      <c r="D733" s="333">
        <v>78573.2</v>
      </c>
      <c r="E733" s="334"/>
      <c r="F733" s="331" t="s">
        <v>435</v>
      </c>
      <c r="G733" s="335">
        <v>100429.2152008339</v>
      </c>
      <c r="H733" s="333">
        <v>89479.144929920003</v>
      </c>
    </row>
    <row r="734" spans="2:8" x14ac:dyDescent="0.25">
      <c r="B734" s="320" t="s">
        <v>362</v>
      </c>
      <c r="C734" s="321"/>
      <c r="D734" s="322"/>
      <c r="E734" s="323"/>
      <c r="F734" s="320" t="s">
        <v>362</v>
      </c>
      <c r="G734" s="324"/>
      <c r="H734" s="322"/>
    </row>
    <row r="735" spans="2:8" x14ac:dyDescent="0.25">
      <c r="B735" s="325" t="s">
        <v>46</v>
      </c>
      <c r="C735" s="326">
        <v>12</v>
      </c>
      <c r="D735" s="327">
        <v>88428.28</v>
      </c>
      <c r="E735" s="328"/>
      <c r="F735" s="325" t="s">
        <v>437</v>
      </c>
      <c r="G735" s="329">
        <v>80675.046339438966</v>
      </c>
      <c r="H735" s="327">
        <v>56838</v>
      </c>
    </row>
    <row r="736" spans="2:8" x14ac:dyDescent="0.25">
      <c r="B736" s="325" t="s">
        <v>18</v>
      </c>
      <c r="C736" s="326">
        <v>0</v>
      </c>
      <c r="D736" s="327" t="s">
        <v>684</v>
      </c>
      <c r="E736" s="328"/>
      <c r="F736" s="325" t="s">
        <v>438</v>
      </c>
      <c r="G736" s="329">
        <v>12740</v>
      </c>
      <c r="H736" s="327">
        <v>12740</v>
      </c>
    </row>
    <row r="737" spans="2:8" x14ac:dyDescent="0.25">
      <c r="B737" s="330" t="s">
        <v>244</v>
      </c>
      <c r="C737" s="326">
        <v>4</v>
      </c>
      <c r="D737" s="327" t="s">
        <v>684</v>
      </c>
      <c r="E737" s="328"/>
      <c r="F737" s="330" t="s">
        <v>439</v>
      </c>
      <c r="G737" s="329">
        <v>9564.465277775289</v>
      </c>
      <c r="H737" s="327">
        <v>7199.1670120799999</v>
      </c>
    </row>
    <row r="738" spans="2:8" x14ac:dyDescent="0.25">
      <c r="B738" s="331" t="s">
        <v>740</v>
      </c>
      <c r="C738" s="332">
        <v>16</v>
      </c>
      <c r="D738" s="333">
        <v>80675.046339438966</v>
      </c>
      <c r="E738" s="334"/>
      <c r="F738" s="331" t="s">
        <v>435</v>
      </c>
      <c r="G738" s="335">
        <v>102979.51161721426</v>
      </c>
      <c r="H738" s="333">
        <v>76777.167012079997</v>
      </c>
    </row>
    <row r="739" spans="2:8" x14ac:dyDescent="0.25">
      <c r="B739" s="320" t="s">
        <v>363</v>
      </c>
      <c r="C739" s="321"/>
      <c r="D739" s="322"/>
      <c r="E739" s="323"/>
      <c r="F739" s="320" t="s">
        <v>363</v>
      </c>
      <c r="G739" s="324"/>
      <c r="H739" s="322"/>
    </row>
    <row r="740" spans="2:8" x14ac:dyDescent="0.25">
      <c r="B740" s="325" t="s">
        <v>46</v>
      </c>
      <c r="C740" s="326">
        <v>3</v>
      </c>
      <c r="D740" s="327" t="s">
        <v>684</v>
      </c>
      <c r="E740" s="328"/>
      <c r="F740" s="325" t="s">
        <v>437</v>
      </c>
      <c r="G740" s="329">
        <v>62619.083484853683</v>
      </c>
      <c r="H740" s="327">
        <v>52770</v>
      </c>
    </row>
    <row r="741" spans="2:8" x14ac:dyDescent="0.25">
      <c r="B741" s="325" t="s">
        <v>18</v>
      </c>
      <c r="C741" s="326">
        <v>10</v>
      </c>
      <c r="D741" s="327">
        <v>60071.05045456106</v>
      </c>
      <c r="E741" s="328"/>
      <c r="F741" s="325" t="s">
        <v>438</v>
      </c>
      <c r="G741" s="329">
        <v>12740</v>
      </c>
      <c r="H741" s="327">
        <v>12740</v>
      </c>
    </row>
    <row r="742" spans="2:8" x14ac:dyDescent="0.25">
      <c r="B742" s="330" t="s">
        <v>244</v>
      </c>
      <c r="C742" s="326">
        <v>4</v>
      </c>
      <c r="D742" s="327" t="s">
        <v>684</v>
      </c>
      <c r="E742" s="328"/>
      <c r="F742" s="330" t="s">
        <v>439</v>
      </c>
      <c r="G742" s="329">
        <v>6995.3692056399996</v>
      </c>
      <c r="H742" s="327">
        <v>6683.9094132000009</v>
      </c>
    </row>
    <row r="743" spans="2:8" x14ac:dyDescent="0.25">
      <c r="B743" s="331" t="s">
        <v>740</v>
      </c>
      <c r="C743" s="332">
        <v>17</v>
      </c>
      <c r="D743" s="333">
        <v>62619.083484853683</v>
      </c>
      <c r="E743" s="334"/>
      <c r="F743" s="331" t="s">
        <v>435</v>
      </c>
      <c r="G743" s="335">
        <v>82354.452690493679</v>
      </c>
      <c r="H743" s="333">
        <v>72193.909413200003</v>
      </c>
    </row>
    <row r="744" spans="2:8" x14ac:dyDescent="0.25">
      <c r="B744" s="320" t="s">
        <v>364</v>
      </c>
      <c r="C744" s="321"/>
      <c r="D744" s="322"/>
      <c r="E744" s="323"/>
      <c r="F744" s="320" t="s">
        <v>364</v>
      </c>
      <c r="G744" s="324"/>
      <c r="H744" s="322"/>
    </row>
    <row r="745" spans="2:8" x14ac:dyDescent="0.25">
      <c r="B745" s="325" t="s">
        <v>46</v>
      </c>
      <c r="C745" s="326">
        <v>2</v>
      </c>
      <c r="D745" s="327" t="s">
        <v>684</v>
      </c>
      <c r="E745" s="328"/>
      <c r="F745" s="325" t="s">
        <v>437</v>
      </c>
      <c r="G745" s="329">
        <v>70556.959064327486</v>
      </c>
      <c r="H745" s="327">
        <v>64344</v>
      </c>
    </row>
    <row r="746" spans="2:8" x14ac:dyDescent="0.25">
      <c r="B746" s="325" t="s">
        <v>18</v>
      </c>
      <c r="C746" s="326">
        <v>5</v>
      </c>
      <c r="D746" s="327">
        <v>70540.877192982472</v>
      </c>
      <c r="E746" s="328"/>
      <c r="F746" s="325" t="s">
        <v>438</v>
      </c>
      <c r="G746" s="329">
        <v>12740</v>
      </c>
      <c r="H746" s="327">
        <v>12740</v>
      </c>
    </row>
    <row r="747" spans="2:8" x14ac:dyDescent="0.25">
      <c r="B747" s="330" t="s">
        <v>244</v>
      </c>
      <c r="C747" s="326">
        <v>4</v>
      </c>
      <c r="D747" s="327" t="s">
        <v>684</v>
      </c>
      <c r="E747" s="328"/>
      <c r="F747" s="330" t="s">
        <v>439</v>
      </c>
      <c r="G747" s="329">
        <v>9640.5593395148153</v>
      </c>
      <c r="H747" s="327">
        <v>8149.8856790400014</v>
      </c>
    </row>
    <row r="748" spans="2:8" x14ac:dyDescent="0.25">
      <c r="B748" s="331" t="s">
        <v>740</v>
      </c>
      <c r="C748" s="332">
        <v>11</v>
      </c>
      <c r="D748" s="333">
        <v>70556.959064327486</v>
      </c>
      <c r="E748" s="334"/>
      <c r="F748" s="331" t="s">
        <v>435</v>
      </c>
      <c r="G748" s="335">
        <v>92937.518403842303</v>
      </c>
      <c r="H748" s="333">
        <v>85233.885679040002</v>
      </c>
    </row>
    <row r="749" spans="2:8" x14ac:dyDescent="0.25">
      <c r="B749" s="320" t="s">
        <v>365</v>
      </c>
      <c r="C749" s="321"/>
      <c r="D749" s="322"/>
      <c r="E749" s="323"/>
      <c r="F749" s="320" t="s">
        <v>365</v>
      </c>
      <c r="G749" s="324"/>
      <c r="H749" s="322"/>
    </row>
    <row r="750" spans="2:8" x14ac:dyDescent="0.25">
      <c r="B750" s="325" t="s">
        <v>46</v>
      </c>
      <c r="C750" s="326">
        <v>20</v>
      </c>
      <c r="D750" s="327">
        <v>75351.02</v>
      </c>
      <c r="E750" s="328"/>
      <c r="F750" s="325" t="s">
        <v>437</v>
      </c>
      <c r="G750" s="329">
        <v>68925.510000000009</v>
      </c>
      <c r="H750" s="327">
        <v>55500</v>
      </c>
    </row>
    <row r="751" spans="2:8" x14ac:dyDescent="0.25">
      <c r="B751" s="325" t="s">
        <v>18</v>
      </c>
      <c r="C751" s="326">
        <v>0</v>
      </c>
      <c r="D751" s="327" t="s">
        <v>684</v>
      </c>
      <c r="E751" s="328"/>
      <c r="F751" s="325" t="s">
        <v>438</v>
      </c>
      <c r="G751" s="329">
        <v>12740</v>
      </c>
      <c r="H751" s="327">
        <v>12740</v>
      </c>
    </row>
    <row r="752" spans="2:8" x14ac:dyDescent="0.25">
      <c r="B752" s="330" t="s">
        <v>244</v>
      </c>
      <c r="C752" s="326">
        <v>5</v>
      </c>
      <c r="D752" s="327">
        <v>62500</v>
      </c>
      <c r="E752" s="328"/>
      <c r="F752" s="330" t="s">
        <v>439</v>
      </c>
      <c r="G752" s="329">
        <v>9136.3227931200017</v>
      </c>
      <c r="H752" s="327">
        <v>7029.6943799999999</v>
      </c>
    </row>
    <row r="753" spans="2:8" x14ac:dyDescent="0.25">
      <c r="B753" s="331" t="s">
        <v>740</v>
      </c>
      <c r="C753" s="332">
        <v>25</v>
      </c>
      <c r="D753" s="333">
        <v>68925.510000000009</v>
      </c>
      <c r="E753" s="334"/>
      <c r="F753" s="331" t="s">
        <v>435</v>
      </c>
      <c r="G753" s="335">
        <v>90801.832793120004</v>
      </c>
      <c r="H753" s="333">
        <v>75269.694380000001</v>
      </c>
    </row>
    <row r="754" spans="2:8" x14ac:dyDescent="0.25">
      <c r="B754" s="320" t="s">
        <v>366</v>
      </c>
      <c r="C754" s="321"/>
      <c r="D754" s="322"/>
      <c r="E754" s="323"/>
      <c r="F754" s="320" t="s">
        <v>366</v>
      </c>
      <c r="G754" s="324"/>
      <c r="H754" s="322"/>
    </row>
    <row r="755" spans="2:8" x14ac:dyDescent="0.25">
      <c r="B755" s="325" t="s">
        <v>46</v>
      </c>
      <c r="C755" s="326">
        <v>20</v>
      </c>
      <c r="D755" s="327">
        <v>77864.7</v>
      </c>
      <c r="E755" s="328"/>
      <c r="F755" s="325" t="s">
        <v>437</v>
      </c>
      <c r="G755" s="329">
        <v>73485.350000000006</v>
      </c>
      <c r="H755" s="327">
        <v>64344</v>
      </c>
    </row>
    <row r="756" spans="2:8" x14ac:dyDescent="0.25">
      <c r="B756" s="325" t="s">
        <v>18</v>
      </c>
      <c r="C756" s="326">
        <v>0</v>
      </c>
      <c r="D756" s="327" t="s">
        <v>684</v>
      </c>
      <c r="E756" s="328"/>
      <c r="F756" s="325" t="s">
        <v>438</v>
      </c>
      <c r="G756" s="329">
        <v>12740</v>
      </c>
      <c r="H756" s="327">
        <v>12740</v>
      </c>
    </row>
    <row r="757" spans="2:8" x14ac:dyDescent="0.25">
      <c r="B757" s="330" t="s">
        <v>244</v>
      </c>
      <c r="C757" s="326">
        <v>5</v>
      </c>
      <c r="D757" s="327">
        <v>69106</v>
      </c>
      <c r="E757" s="328"/>
      <c r="F757" s="330" t="s">
        <v>439</v>
      </c>
      <c r="G757" s="329">
        <v>8938.4084723053948</v>
      </c>
      <c r="H757" s="327">
        <v>8149.8856790400014</v>
      </c>
    </row>
    <row r="758" spans="2:8" x14ac:dyDescent="0.25">
      <c r="B758" s="331" t="s">
        <v>740</v>
      </c>
      <c r="C758" s="332">
        <v>25</v>
      </c>
      <c r="D758" s="333">
        <v>73485.350000000006</v>
      </c>
      <c r="E758" s="334"/>
      <c r="F758" s="331" t="s">
        <v>435</v>
      </c>
      <c r="G758" s="335">
        <v>95163.758472305402</v>
      </c>
      <c r="H758" s="333">
        <v>85233.885679040002</v>
      </c>
    </row>
    <row r="759" spans="2:8" x14ac:dyDescent="0.25">
      <c r="B759" s="320" t="s">
        <v>417</v>
      </c>
      <c r="C759" s="321"/>
      <c r="D759" s="322"/>
      <c r="E759" s="323"/>
      <c r="F759" s="320" t="s">
        <v>417</v>
      </c>
      <c r="G759" s="324"/>
      <c r="H759" s="322"/>
    </row>
    <row r="760" spans="2:8" x14ac:dyDescent="0.25">
      <c r="B760" s="325" t="s">
        <v>46</v>
      </c>
      <c r="C760" s="326">
        <v>4</v>
      </c>
      <c r="D760" s="327" t="s">
        <v>684</v>
      </c>
      <c r="E760" s="328"/>
      <c r="F760" s="325" t="s">
        <v>437</v>
      </c>
      <c r="G760" s="329">
        <v>86240.940946124319</v>
      </c>
      <c r="H760" s="327">
        <v>49560</v>
      </c>
    </row>
    <row r="761" spans="2:8" x14ac:dyDescent="0.25">
      <c r="B761" s="325" t="s">
        <v>18</v>
      </c>
      <c r="C761" s="326">
        <v>8</v>
      </c>
      <c r="D761" s="327">
        <v>80528.051892248652</v>
      </c>
      <c r="E761" s="328"/>
      <c r="F761" s="325" t="s">
        <v>438</v>
      </c>
      <c r="G761" s="329">
        <v>12740</v>
      </c>
      <c r="H761" s="327">
        <v>12740</v>
      </c>
    </row>
    <row r="762" spans="2:8" x14ac:dyDescent="0.25">
      <c r="B762" s="330" t="s">
        <v>244</v>
      </c>
      <c r="C762" s="326">
        <v>0</v>
      </c>
      <c r="D762" s="327" t="s">
        <v>684</v>
      </c>
      <c r="E762" s="328"/>
      <c r="F762" s="330" t="s">
        <v>439</v>
      </c>
      <c r="G762" s="329">
        <v>11482.808148113243</v>
      </c>
      <c r="H762" s="327">
        <v>6277.3270896000004</v>
      </c>
    </row>
    <row r="763" spans="2:8" x14ac:dyDescent="0.25">
      <c r="B763" s="331" t="s">
        <v>740</v>
      </c>
      <c r="C763" s="332">
        <v>12</v>
      </c>
      <c r="D763" s="333">
        <v>86240.940946124319</v>
      </c>
      <c r="E763" s="334"/>
      <c r="F763" s="331" t="s">
        <v>435</v>
      </c>
      <c r="G763" s="335">
        <v>110463.74909423756</v>
      </c>
      <c r="H763" s="333">
        <v>68577.327089600003</v>
      </c>
    </row>
    <row r="764" spans="2:8" x14ac:dyDescent="0.25">
      <c r="B764" s="320" t="s">
        <v>367</v>
      </c>
      <c r="C764" s="321"/>
      <c r="D764" s="322"/>
      <c r="E764" s="323"/>
      <c r="F764" s="320" t="s">
        <v>367</v>
      </c>
      <c r="G764" s="324"/>
      <c r="H764" s="322"/>
    </row>
    <row r="765" spans="2:8" x14ac:dyDescent="0.25">
      <c r="B765" s="325" t="s">
        <v>46</v>
      </c>
      <c r="C765" s="326">
        <v>6</v>
      </c>
      <c r="D765" s="327">
        <v>70394.91</v>
      </c>
      <c r="E765" s="328"/>
      <c r="F765" s="325" t="s">
        <v>437</v>
      </c>
      <c r="G765" s="329">
        <v>72532.38970177235</v>
      </c>
      <c r="H765" s="327">
        <v>42882</v>
      </c>
    </row>
    <row r="766" spans="2:8" x14ac:dyDescent="0.25">
      <c r="B766" s="325" t="s">
        <v>18</v>
      </c>
      <c r="C766" s="326">
        <v>6</v>
      </c>
      <c r="D766" s="327">
        <v>77493.479445435631</v>
      </c>
      <c r="E766" s="328"/>
      <c r="F766" s="325" t="s">
        <v>438</v>
      </c>
      <c r="G766" s="329">
        <v>12740</v>
      </c>
      <c r="H766" s="327">
        <v>12740</v>
      </c>
    </row>
    <row r="767" spans="2:8" x14ac:dyDescent="0.25">
      <c r="B767" s="330" t="s">
        <v>244</v>
      </c>
      <c r="C767" s="326">
        <v>3</v>
      </c>
      <c r="D767" s="327" t="s">
        <v>684</v>
      </c>
      <c r="E767" s="328"/>
      <c r="F767" s="330" t="s">
        <v>439</v>
      </c>
      <c r="G767" s="329">
        <v>8372.9412800393002</v>
      </c>
      <c r="H767" s="327">
        <v>5431.48386312</v>
      </c>
    </row>
    <row r="768" spans="2:8" x14ac:dyDescent="0.25">
      <c r="B768" s="331" t="s">
        <v>740</v>
      </c>
      <c r="C768" s="332">
        <v>15</v>
      </c>
      <c r="D768" s="333">
        <v>72532.38970177235</v>
      </c>
      <c r="E768" s="334"/>
      <c r="F768" s="331" t="s">
        <v>435</v>
      </c>
      <c r="G768" s="335">
        <v>93645.330981811654</v>
      </c>
      <c r="H768" s="333">
        <v>61053.483863119996</v>
      </c>
    </row>
    <row r="769" spans="2:8" x14ac:dyDescent="0.25">
      <c r="B769" s="320" t="s">
        <v>368</v>
      </c>
      <c r="C769" s="321"/>
      <c r="D769" s="322"/>
      <c r="E769" s="323"/>
      <c r="F769" s="320" t="s">
        <v>368</v>
      </c>
      <c r="G769" s="324"/>
      <c r="H769" s="322"/>
    </row>
    <row r="770" spans="2:8" x14ac:dyDescent="0.25">
      <c r="B770" s="325" t="s">
        <v>46</v>
      </c>
      <c r="C770" s="326">
        <v>0</v>
      </c>
      <c r="D770" s="327" t="s">
        <v>684</v>
      </c>
      <c r="E770" s="328"/>
      <c r="F770" s="325" t="s">
        <v>437</v>
      </c>
      <c r="G770" s="329" t="s">
        <v>684</v>
      </c>
      <c r="H770" s="327">
        <v>87192</v>
      </c>
    </row>
    <row r="771" spans="2:8" x14ac:dyDescent="0.25">
      <c r="B771" s="325" t="s">
        <v>18</v>
      </c>
      <c r="C771" s="326">
        <v>0</v>
      </c>
      <c r="D771" s="327" t="s">
        <v>684</v>
      </c>
      <c r="E771" s="328"/>
      <c r="F771" s="325" t="s">
        <v>438</v>
      </c>
      <c r="G771" s="329" t="s">
        <v>684</v>
      </c>
      <c r="H771" s="327">
        <v>12740</v>
      </c>
    </row>
    <row r="772" spans="2:8" x14ac:dyDescent="0.25">
      <c r="B772" s="330" t="s">
        <v>244</v>
      </c>
      <c r="C772" s="326">
        <v>4</v>
      </c>
      <c r="D772" s="327" t="s">
        <v>684</v>
      </c>
      <c r="E772" s="328"/>
      <c r="F772" s="330" t="s">
        <v>439</v>
      </c>
      <c r="G772" s="329" t="s">
        <v>684</v>
      </c>
      <c r="H772" s="327">
        <v>11043.839862720002</v>
      </c>
    </row>
    <row r="773" spans="2:8" x14ac:dyDescent="0.25">
      <c r="B773" s="331" t="s">
        <v>740</v>
      </c>
      <c r="C773" s="332">
        <v>4</v>
      </c>
      <c r="D773" s="333" t="s">
        <v>684</v>
      </c>
      <c r="E773" s="334"/>
      <c r="F773" s="331" t="s">
        <v>435</v>
      </c>
      <c r="G773" s="335">
        <v>0</v>
      </c>
      <c r="H773" s="333">
        <v>110975.83986272001</v>
      </c>
    </row>
    <row r="774" spans="2:8" x14ac:dyDescent="0.25">
      <c r="B774" s="320" t="s">
        <v>369</v>
      </c>
      <c r="C774" s="321"/>
      <c r="D774" s="322"/>
      <c r="E774" s="323"/>
      <c r="F774" s="320" t="s">
        <v>369</v>
      </c>
      <c r="G774" s="324"/>
      <c r="H774" s="322"/>
    </row>
    <row r="775" spans="2:8" x14ac:dyDescent="0.25">
      <c r="B775" s="325" t="s">
        <v>46</v>
      </c>
      <c r="C775" s="326">
        <v>2</v>
      </c>
      <c r="D775" s="327" t="s">
        <v>684</v>
      </c>
      <c r="E775" s="328"/>
      <c r="F775" s="325" t="s">
        <v>437</v>
      </c>
      <c r="G775" s="329" t="s">
        <v>684</v>
      </c>
      <c r="H775" s="327">
        <v>48336</v>
      </c>
    </row>
    <row r="776" spans="2:8" x14ac:dyDescent="0.25">
      <c r="B776" s="325" t="s">
        <v>18</v>
      </c>
      <c r="C776" s="326">
        <v>0</v>
      </c>
      <c r="D776" s="327" t="s">
        <v>684</v>
      </c>
      <c r="E776" s="328"/>
      <c r="F776" s="325" t="s">
        <v>438</v>
      </c>
      <c r="G776" s="329" t="s">
        <v>684</v>
      </c>
      <c r="H776" s="327">
        <v>12740</v>
      </c>
    </row>
    <row r="777" spans="2:8" x14ac:dyDescent="0.25">
      <c r="B777" s="330" t="s">
        <v>244</v>
      </c>
      <c r="C777" s="326">
        <v>1</v>
      </c>
      <c r="D777" s="327" t="s">
        <v>684</v>
      </c>
      <c r="E777" s="328"/>
      <c r="F777" s="330" t="s">
        <v>439</v>
      </c>
      <c r="G777" s="329" t="s">
        <v>684</v>
      </c>
      <c r="H777" s="327">
        <v>6122.2938297600003</v>
      </c>
    </row>
    <row r="778" spans="2:8" x14ac:dyDescent="0.25">
      <c r="B778" s="331" t="s">
        <v>740</v>
      </c>
      <c r="C778" s="332">
        <v>3</v>
      </c>
      <c r="D778" s="333" t="s">
        <v>684</v>
      </c>
      <c r="E778" s="334"/>
      <c r="F778" s="331" t="s">
        <v>435</v>
      </c>
      <c r="G778" s="335">
        <v>0</v>
      </c>
      <c r="H778" s="333">
        <v>67198.293829760005</v>
      </c>
    </row>
    <row r="779" spans="2:8" x14ac:dyDescent="0.25">
      <c r="B779" s="320" t="s">
        <v>742</v>
      </c>
      <c r="C779" s="321"/>
      <c r="D779" s="322"/>
      <c r="E779" s="323"/>
      <c r="F779" s="320" t="s">
        <v>742</v>
      </c>
      <c r="G779" s="324"/>
      <c r="H779" s="322"/>
    </row>
    <row r="780" spans="2:8" x14ac:dyDescent="0.25">
      <c r="B780" s="325" t="s">
        <v>46</v>
      </c>
      <c r="C780" s="326">
        <v>3</v>
      </c>
      <c r="D780" s="327" t="s">
        <v>684</v>
      </c>
      <c r="E780" s="328"/>
      <c r="F780" s="325" t="s">
        <v>437</v>
      </c>
      <c r="G780" s="329">
        <v>87516.957153627125</v>
      </c>
      <c r="H780" s="327">
        <v>77082</v>
      </c>
    </row>
    <row r="781" spans="2:8" x14ac:dyDescent="0.25">
      <c r="B781" s="325" t="s">
        <v>18</v>
      </c>
      <c r="C781" s="326">
        <v>6</v>
      </c>
      <c r="D781" s="327">
        <v>72504.987807254249</v>
      </c>
      <c r="E781" s="328"/>
      <c r="F781" s="325" t="s">
        <v>438</v>
      </c>
      <c r="G781" s="329">
        <v>12740</v>
      </c>
      <c r="H781" s="327">
        <v>12740</v>
      </c>
    </row>
    <row r="782" spans="2:8" x14ac:dyDescent="0.25">
      <c r="B782" s="330" t="s">
        <v>244</v>
      </c>
      <c r="C782" s="326">
        <v>0</v>
      </c>
      <c r="D782" s="327" t="s">
        <v>684</v>
      </c>
      <c r="E782" s="328"/>
      <c r="F782" s="330" t="s">
        <v>439</v>
      </c>
      <c r="G782" s="329">
        <v>10998.739076210109</v>
      </c>
      <c r="H782" s="327">
        <v>9763.2955351200017</v>
      </c>
    </row>
    <row r="783" spans="2:8" x14ac:dyDescent="0.25">
      <c r="B783" s="331" t="s">
        <v>740</v>
      </c>
      <c r="C783" s="332">
        <v>9</v>
      </c>
      <c r="D783" s="333">
        <v>87516.957153627125</v>
      </c>
      <c r="E783" s="334"/>
      <c r="F783" s="331" t="s">
        <v>435</v>
      </c>
      <c r="G783" s="335">
        <v>111255.69622983724</v>
      </c>
      <c r="H783" s="333">
        <v>99585.295535120007</v>
      </c>
    </row>
    <row r="784" spans="2:8" ht="15.75" customHeight="1" x14ac:dyDescent="0.25">
      <c r="B784" s="314" t="s">
        <v>0</v>
      </c>
      <c r="C784" s="315"/>
      <c r="D784" s="316"/>
      <c r="E784" s="313"/>
      <c r="F784" s="314" t="s">
        <v>0</v>
      </c>
      <c r="G784" s="315"/>
      <c r="H784" s="316"/>
    </row>
    <row r="785" spans="2:8" ht="30" x14ac:dyDescent="0.25">
      <c r="B785" s="317" t="s">
        <v>47</v>
      </c>
      <c r="C785" s="318" t="s">
        <v>432</v>
      </c>
      <c r="D785" s="319" t="s">
        <v>436</v>
      </c>
      <c r="E785" s="313"/>
      <c r="F785" s="317" t="s">
        <v>47</v>
      </c>
      <c r="G785" s="318" t="s">
        <v>740</v>
      </c>
      <c r="H785" s="319" t="s">
        <v>48</v>
      </c>
    </row>
    <row r="786" spans="2:8" x14ac:dyDescent="0.25">
      <c r="B786" s="320" t="s">
        <v>370</v>
      </c>
      <c r="C786" s="321"/>
      <c r="D786" s="322"/>
      <c r="E786" s="323"/>
      <c r="F786" s="320" t="s">
        <v>370</v>
      </c>
      <c r="G786" s="324"/>
      <c r="H786" s="322"/>
    </row>
    <row r="787" spans="2:8" x14ac:dyDescent="0.25">
      <c r="B787" s="325" t="s">
        <v>46</v>
      </c>
      <c r="C787" s="326">
        <v>3</v>
      </c>
      <c r="D787" s="327" t="s">
        <v>684</v>
      </c>
      <c r="E787" s="328"/>
      <c r="F787" s="325" t="s">
        <v>437</v>
      </c>
      <c r="G787" s="329">
        <v>76441.452275664124</v>
      </c>
      <c r="H787" s="327">
        <v>63258</v>
      </c>
    </row>
    <row r="788" spans="2:8" x14ac:dyDescent="0.25">
      <c r="B788" s="325" t="s">
        <v>18</v>
      </c>
      <c r="C788" s="326">
        <v>14</v>
      </c>
      <c r="D788" s="327">
        <v>80138.75682699235</v>
      </c>
      <c r="E788" s="328"/>
      <c r="F788" s="325" t="s">
        <v>438</v>
      </c>
      <c r="G788" s="329">
        <v>12740</v>
      </c>
      <c r="H788" s="327">
        <v>12740</v>
      </c>
    </row>
    <row r="789" spans="2:8" x14ac:dyDescent="0.25">
      <c r="B789" s="330" t="s">
        <v>244</v>
      </c>
      <c r="C789" s="326">
        <v>4</v>
      </c>
      <c r="D789" s="327" t="s">
        <v>684</v>
      </c>
      <c r="E789" s="328"/>
      <c r="F789" s="330" t="s">
        <v>439</v>
      </c>
      <c r="G789" s="329">
        <v>10029.739951296002</v>
      </c>
      <c r="H789" s="327">
        <v>8012.3316592800011</v>
      </c>
    </row>
    <row r="790" spans="2:8" x14ac:dyDescent="0.25">
      <c r="B790" s="331" t="s">
        <v>740</v>
      </c>
      <c r="C790" s="332">
        <v>21</v>
      </c>
      <c r="D790" s="333">
        <v>76441.452275664124</v>
      </c>
      <c r="E790" s="334"/>
      <c r="F790" s="331" t="s">
        <v>435</v>
      </c>
      <c r="G790" s="335">
        <v>99211.19222696012</v>
      </c>
      <c r="H790" s="333">
        <v>84010.331659279997</v>
      </c>
    </row>
    <row r="791" spans="2:8" x14ac:dyDescent="0.25">
      <c r="B791" s="320" t="s">
        <v>418</v>
      </c>
      <c r="C791" s="321"/>
      <c r="D791" s="322"/>
      <c r="E791" s="323"/>
      <c r="F791" s="320" t="s">
        <v>418</v>
      </c>
      <c r="G791" s="324"/>
      <c r="H791" s="322"/>
    </row>
    <row r="792" spans="2:8" x14ac:dyDescent="0.25">
      <c r="B792" s="325" t="s">
        <v>46</v>
      </c>
      <c r="C792" s="326">
        <v>0</v>
      </c>
      <c r="D792" s="327" t="s">
        <v>684</v>
      </c>
      <c r="E792" s="328"/>
      <c r="F792" s="325" t="s">
        <v>437</v>
      </c>
      <c r="G792" s="329">
        <v>62636.243137254896</v>
      </c>
      <c r="H792" s="327">
        <v>50766</v>
      </c>
    </row>
    <row r="793" spans="2:8" x14ac:dyDescent="0.25">
      <c r="B793" s="325" t="s">
        <v>18</v>
      </c>
      <c r="C793" s="326">
        <v>9</v>
      </c>
      <c r="D793" s="327">
        <v>62636.243137254896</v>
      </c>
      <c r="E793" s="328"/>
      <c r="F793" s="325" t="s">
        <v>438</v>
      </c>
      <c r="G793" s="329">
        <v>13536.25</v>
      </c>
      <c r="H793" s="327">
        <v>12740</v>
      </c>
    </row>
    <row r="794" spans="2:8" x14ac:dyDescent="0.25">
      <c r="B794" s="330" t="s">
        <v>244</v>
      </c>
      <c r="C794" s="326">
        <v>0</v>
      </c>
      <c r="D794" s="327" t="s">
        <v>684</v>
      </c>
      <c r="E794" s="328"/>
      <c r="F794" s="330" t="s">
        <v>439</v>
      </c>
      <c r="G794" s="329">
        <v>8850.3141915617907</v>
      </c>
      <c r="H794" s="327">
        <v>6430.0804485600011</v>
      </c>
    </row>
    <row r="795" spans="2:8" x14ac:dyDescent="0.25">
      <c r="B795" s="331" t="s">
        <v>740</v>
      </c>
      <c r="C795" s="332">
        <v>9</v>
      </c>
      <c r="D795" s="333">
        <v>62636.243137254896</v>
      </c>
      <c r="E795" s="334"/>
      <c r="F795" s="331" t="s">
        <v>435</v>
      </c>
      <c r="G795" s="335">
        <v>85022.807328816692</v>
      </c>
      <c r="H795" s="333">
        <v>69936.080448559995</v>
      </c>
    </row>
    <row r="796" spans="2:8" x14ac:dyDescent="0.25">
      <c r="B796" s="320" t="s">
        <v>371</v>
      </c>
      <c r="C796" s="321"/>
      <c r="D796" s="322"/>
      <c r="E796" s="323"/>
      <c r="F796" s="320" t="s">
        <v>371</v>
      </c>
      <c r="G796" s="324"/>
      <c r="H796" s="322"/>
    </row>
    <row r="797" spans="2:8" x14ac:dyDescent="0.25">
      <c r="B797" s="325" t="s">
        <v>46</v>
      </c>
      <c r="C797" s="326">
        <v>0</v>
      </c>
      <c r="D797" s="327" t="s">
        <v>684</v>
      </c>
      <c r="E797" s="328"/>
      <c r="F797" s="325" t="s">
        <v>437</v>
      </c>
      <c r="G797" s="329">
        <v>96345.589519650661</v>
      </c>
      <c r="H797" s="327">
        <v>57306</v>
      </c>
    </row>
    <row r="798" spans="2:8" x14ac:dyDescent="0.25">
      <c r="B798" s="325" t="s">
        <v>18</v>
      </c>
      <c r="C798" s="326">
        <v>9</v>
      </c>
      <c r="D798" s="327">
        <v>96345.589519650661</v>
      </c>
      <c r="E798" s="328"/>
      <c r="F798" s="325" t="s">
        <v>438</v>
      </c>
      <c r="G798" s="329">
        <v>12740</v>
      </c>
      <c r="H798" s="327">
        <v>12740</v>
      </c>
    </row>
    <row r="799" spans="2:8" x14ac:dyDescent="0.25">
      <c r="B799" s="330" t="s">
        <v>244</v>
      </c>
      <c r="C799" s="326">
        <v>0</v>
      </c>
      <c r="D799" s="327" t="s">
        <v>684</v>
      </c>
      <c r="E799" s="328"/>
      <c r="F799" s="330" t="s">
        <v>439</v>
      </c>
      <c r="G799" s="329">
        <v>11604.64927626662</v>
      </c>
      <c r="H799" s="327">
        <v>7258.4444349600008</v>
      </c>
    </row>
    <row r="800" spans="2:8" x14ac:dyDescent="0.25">
      <c r="B800" s="331" t="s">
        <v>740</v>
      </c>
      <c r="C800" s="332">
        <v>9</v>
      </c>
      <c r="D800" s="333">
        <v>96345.589519650661</v>
      </c>
      <c r="E800" s="334"/>
      <c r="F800" s="331" t="s">
        <v>435</v>
      </c>
      <c r="G800" s="335">
        <v>120690.23879591728</v>
      </c>
      <c r="H800" s="333">
        <v>77304.444434959994</v>
      </c>
    </row>
    <row r="801" spans="2:8" x14ac:dyDescent="0.25">
      <c r="B801" s="320" t="s">
        <v>372</v>
      </c>
      <c r="C801" s="321"/>
      <c r="D801" s="322"/>
      <c r="E801" s="323"/>
      <c r="F801" s="320" t="s">
        <v>372</v>
      </c>
      <c r="G801" s="324"/>
      <c r="H801" s="322"/>
    </row>
    <row r="802" spans="2:8" x14ac:dyDescent="0.25">
      <c r="B802" s="325" t="s">
        <v>46</v>
      </c>
      <c r="C802" s="326">
        <v>3</v>
      </c>
      <c r="D802" s="327" t="s">
        <v>684</v>
      </c>
      <c r="E802" s="328"/>
      <c r="F802" s="325" t="s">
        <v>437</v>
      </c>
      <c r="G802" s="329">
        <v>97338.155038759694</v>
      </c>
      <c r="H802" s="327">
        <v>77082</v>
      </c>
    </row>
    <row r="803" spans="2:8" x14ac:dyDescent="0.25">
      <c r="B803" s="325" t="s">
        <v>18</v>
      </c>
      <c r="C803" s="326">
        <v>9</v>
      </c>
      <c r="D803" s="327">
        <v>88689.265116279086</v>
      </c>
      <c r="E803" s="328"/>
      <c r="F803" s="325" t="s">
        <v>438</v>
      </c>
      <c r="G803" s="329">
        <v>12740</v>
      </c>
      <c r="H803" s="327">
        <v>12740</v>
      </c>
    </row>
    <row r="804" spans="2:8" x14ac:dyDescent="0.25">
      <c r="B804" s="330" t="s">
        <v>244</v>
      </c>
      <c r="C804" s="326">
        <v>3</v>
      </c>
      <c r="D804" s="327" t="s">
        <v>684</v>
      </c>
      <c r="E804" s="328"/>
      <c r="F804" s="330" t="s">
        <v>439</v>
      </c>
      <c r="G804" s="329">
        <v>11522.480231947737</v>
      </c>
      <c r="H804" s="327">
        <v>9763.2955351200017</v>
      </c>
    </row>
    <row r="805" spans="2:8" x14ac:dyDescent="0.25">
      <c r="B805" s="331" t="s">
        <v>740</v>
      </c>
      <c r="C805" s="332">
        <v>15</v>
      </c>
      <c r="D805" s="333">
        <v>97338.155038759694</v>
      </c>
      <c r="E805" s="334"/>
      <c r="F805" s="331" t="s">
        <v>435</v>
      </c>
      <c r="G805" s="335">
        <v>121600.63527070743</v>
      </c>
      <c r="H805" s="333">
        <v>99585.295535120007</v>
      </c>
    </row>
    <row r="806" spans="2:8" x14ac:dyDescent="0.25">
      <c r="B806" s="320" t="s">
        <v>419</v>
      </c>
      <c r="C806" s="321"/>
      <c r="D806" s="322"/>
      <c r="E806" s="323"/>
      <c r="F806" s="320" t="s">
        <v>419</v>
      </c>
      <c r="G806" s="324"/>
      <c r="H806" s="322"/>
    </row>
    <row r="807" spans="2:8" x14ac:dyDescent="0.25">
      <c r="B807" s="325" t="s">
        <v>46</v>
      </c>
      <c r="C807" s="326">
        <v>5</v>
      </c>
      <c r="D807" s="327">
        <v>55494.400000000001</v>
      </c>
      <c r="E807" s="328"/>
      <c r="F807" s="325" t="s">
        <v>437</v>
      </c>
      <c r="G807" s="329">
        <v>55036.977018153935</v>
      </c>
      <c r="H807" s="327">
        <v>54582</v>
      </c>
    </row>
    <row r="808" spans="2:8" x14ac:dyDescent="0.25">
      <c r="B808" s="325" t="s">
        <v>18</v>
      </c>
      <c r="C808" s="326">
        <v>12</v>
      </c>
      <c r="D808" s="327">
        <v>54579.554036307876</v>
      </c>
      <c r="E808" s="328"/>
      <c r="F808" s="325" t="s">
        <v>438</v>
      </c>
      <c r="G808" s="329">
        <v>14332.5</v>
      </c>
      <c r="H808" s="327">
        <v>12740</v>
      </c>
    </row>
    <row r="809" spans="2:8" x14ac:dyDescent="0.25">
      <c r="B809" s="330" t="s">
        <v>244</v>
      </c>
      <c r="C809" s="326">
        <v>0</v>
      </c>
      <c r="D809" s="327" t="s">
        <v>684</v>
      </c>
      <c r="E809" s="328"/>
      <c r="F809" s="330" t="s">
        <v>439</v>
      </c>
      <c r="G809" s="329">
        <v>7235.7099281436458</v>
      </c>
      <c r="H809" s="327">
        <v>6913.4194351200013</v>
      </c>
    </row>
    <row r="810" spans="2:8" x14ac:dyDescent="0.25">
      <c r="B810" s="331" t="s">
        <v>740</v>
      </c>
      <c r="C810" s="332">
        <v>17</v>
      </c>
      <c r="D810" s="333">
        <v>55036.977018153935</v>
      </c>
      <c r="E810" s="334"/>
      <c r="F810" s="331" t="s">
        <v>435</v>
      </c>
      <c r="G810" s="335">
        <v>76605.186946297588</v>
      </c>
      <c r="H810" s="333">
        <v>74235.419435119999</v>
      </c>
    </row>
    <row r="811" spans="2:8" x14ac:dyDescent="0.25">
      <c r="B811" s="320" t="s">
        <v>373</v>
      </c>
      <c r="C811" s="321"/>
      <c r="D811" s="322"/>
      <c r="E811" s="323"/>
      <c r="F811" s="320" t="s">
        <v>373</v>
      </c>
      <c r="G811" s="324"/>
      <c r="H811" s="322"/>
    </row>
    <row r="812" spans="2:8" x14ac:dyDescent="0.25">
      <c r="B812" s="325" t="s">
        <v>46</v>
      </c>
      <c r="C812" s="326">
        <v>2</v>
      </c>
      <c r="D812" s="327" t="s">
        <v>684</v>
      </c>
      <c r="E812" s="328"/>
      <c r="F812" s="325" t="s">
        <v>437</v>
      </c>
      <c r="G812" s="329">
        <v>83400.040951396077</v>
      </c>
      <c r="H812" s="327">
        <v>63258</v>
      </c>
    </row>
    <row r="813" spans="2:8" x14ac:dyDescent="0.25">
      <c r="B813" s="325" t="s">
        <v>18</v>
      </c>
      <c r="C813" s="326">
        <v>7</v>
      </c>
      <c r="D813" s="327">
        <v>76091.481902792133</v>
      </c>
      <c r="E813" s="328"/>
      <c r="F813" s="325" t="s">
        <v>438</v>
      </c>
      <c r="G813" s="329">
        <v>12740</v>
      </c>
      <c r="H813" s="327">
        <v>12740</v>
      </c>
    </row>
    <row r="814" spans="2:8" x14ac:dyDescent="0.25">
      <c r="B814" s="330" t="s">
        <v>244</v>
      </c>
      <c r="C814" s="326">
        <v>0</v>
      </c>
      <c r="D814" s="327" t="s">
        <v>684</v>
      </c>
      <c r="E814" s="328"/>
      <c r="F814" s="330" t="s">
        <v>439</v>
      </c>
      <c r="G814" s="329">
        <v>11604.64927626662</v>
      </c>
      <c r="H814" s="327">
        <v>8012.3316592800011</v>
      </c>
    </row>
    <row r="815" spans="2:8" x14ac:dyDescent="0.25">
      <c r="B815" s="331" t="s">
        <v>740</v>
      </c>
      <c r="C815" s="332">
        <v>9</v>
      </c>
      <c r="D815" s="333">
        <v>83400.040951396077</v>
      </c>
      <c r="E815" s="334"/>
      <c r="F815" s="331" t="s">
        <v>435</v>
      </c>
      <c r="G815" s="335">
        <v>107744.69022766269</v>
      </c>
      <c r="H815" s="333">
        <v>84010.331659279997</v>
      </c>
    </row>
    <row r="816" spans="2:8" x14ac:dyDescent="0.25">
      <c r="B816" s="320" t="s">
        <v>374</v>
      </c>
      <c r="C816" s="321"/>
      <c r="D816" s="322"/>
      <c r="E816" s="323"/>
      <c r="F816" s="320" t="s">
        <v>374</v>
      </c>
      <c r="G816" s="324"/>
      <c r="H816" s="322"/>
    </row>
    <row r="817" spans="2:8" x14ac:dyDescent="0.25">
      <c r="B817" s="325" t="s">
        <v>46</v>
      </c>
      <c r="C817" s="326">
        <v>8</v>
      </c>
      <c r="D817" s="327">
        <v>61620.5</v>
      </c>
      <c r="E817" s="328"/>
      <c r="F817" s="325" t="s">
        <v>437</v>
      </c>
      <c r="G817" s="329">
        <v>54900</v>
      </c>
      <c r="H817" s="327">
        <v>54582</v>
      </c>
    </row>
    <row r="818" spans="2:8" x14ac:dyDescent="0.25">
      <c r="B818" s="325" t="s">
        <v>18</v>
      </c>
      <c r="C818" s="326">
        <v>0</v>
      </c>
      <c r="D818" s="327" t="s">
        <v>684</v>
      </c>
      <c r="E818" s="328"/>
      <c r="F818" s="325" t="s">
        <v>438</v>
      </c>
      <c r="G818" s="329">
        <v>12740</v>
      </c>
      <c r="H818" s="327">
        <v>12740</v>
      </c>
    </row>
    <row r="819" spans="2:8" x14ac:dyDescent="0.25">
      <c r="B819" s="330" t="s">
        <v>244</v>
      </c>
      <c r="C819" s="326">
        <v>6</v>
      </c>
      <c r="D819" s="327">
        <v>48179.5</v>
      </c>
      <c r="E819" s="328"/>
      <c r="F819" s="330" t="s">
        <v>439</v>
      </c>
      <c r="G819" s="329">
        <v>7092.9668748021813</v>
      </c>
      <c r="H819" s="327">
        <v>6913.4194351200013</v>
      </c>
    </row>
    <row r="820" spans="2:8" x14ac:dyDescent="0.25">
      <c r="B820" s="331" t="s">
        <v>740</v>
      </c>
      <c r="C820" s="332">
        <v>14</v>
      </c>
      <c r="D820" s="333">
        <v>54900</v>
      </c>
      <c r="E820" s="334"/>
      <c r="F820" s="331" t="s">
        <v>435</v>
      </c>
      <c r="G820" s="335">
        <v>74732.96687480218</v>
      </c>
      <c r="H820" s="333">
        <v>74235.419435119999</v>
      </c>
    </row>
    <row r="821" spans="2:8" x14ac:dyDescent="0.25">
      <c r="B821" s="320" t="s">
        <v>420</v>
      </c>
      <c r="C821" s="321"/>
      <c r="D821" s="322"/>
      <c r="E821" s="323"/>
      <c r="F821" s="320" t="s">
        <v>420</v>
      </c>
      <c r="G821" s="324"/>
      <c r="H821" s="322"/>
    </row>
    <row r="822" spans="2:8" x14ac:dyDescent="0.25">
      <c r="B822" s="325" t="s">
        <v>46</v>
      </c>
      <c r="C822" s="326">
        <v>10</v>
      </c>
      <c r="D822" s="327">
        <v>93605.209999999992</v>
      </c>
      <c r="E822" s="328"/>
      <c r="F822" s="325" t="s">
        <v>437</v>
      </c>
      <c r="G822" s="329">
        <v>75768.604999999996</v>
      </c>
      <c r="H822" s="327">
        <v>61710</v>
      </c>
    </row>
    <row r="823" spans="2:8" x14ac:dyDescent="0.25">
      <c r="B823" s="325" t="s">
        <v>18</v>
      </c>
      <c r="C823" s="326">
        <v>0</v>
      </c>
      <c r="D823" s="327" t="s">
        <v>684</v>
      </c>
      <c r="E823" s="328"/>
      <c r="F823" s="325" t="s">
        <v>438</v>
      </c>
      <c r="G823" s="329">
        <v>12740</v>
      </c>
      <c r="H823" s="327">
        <v>12740</v>
      </c>
    </row>
    <row r="824" spans="2:8" x14ac:dyDescent="0.25">
      <c r="B824" s="330" t="s">
        <v>244</v>
      </c>
      <c r="C824" s="326">
        <v>3</v>
      </c>
      <c r="D824" s="327" t="s">
        <v>684</v>
      </c>
      <c r="E824" s="328"/>
      <c r="F824" s="330" t="s">
        <v>439</v>
      </c>
      <c r="G824" s="329">
        <v>10967.558869106269</v>
      </c>
      <c r="H824" s="327">
        <v>7816.2601836000003</v>
      </c>
    </row>
    <row r="825" spans="2:8" x14ac:dyDescent="0.25">
      <c r="B825" s="331" t="s">
        <v>740</v>
      </c>
      <c r="C825" s="332">
        <v>13</v>
      </c>
      <c r="D825" s="333">
        <v>75768.604999999996</v>
      </c>
      <c r="E825" s="334"/>
      <c r="F825" s="331" t="s">
        <v>435</v>
      </c>
      <c r="G825" s="335">
        <v>99476.163869106269</v>
      </c>
      <c r="H825" s="333">
        <v>82266.260183599996</v>
      </c>
    </row>
    <row r="826" spans="2:8" x14ac:dyDescent="0.25">
      <c r="B826" s="320" t="s">
        <v>375</v>
      </c>
      <c r="C826" s="321"/>
      <c r="D826" s="322"/>
      <c r="E826" s="323"/>
      <c r="F826" s="320" t="s">
        <v>375</v>
      </c>
      <c r="G826" s="324"/>
      <c r="H826" s="322"/>
    </row>
    <row r="827" spans="2:8" x14ac:dyDescent="0.25">
      <c r="B827" s="325" t="s">
        <v>46</v>
      </c>
      <c r="C827" s="326">
        <v>1</v>
      </c>
      <c r="D827" s="327" t="s">
        <v>684</v>
      </c>
      <c r="E827" s="328"/>
      <c r="F827" s="325" t="s">
        <v>437</v>
      </c>
      <c r="G827" s="329">
        <v>89842.899335257142</v>
      </c>
      <c r="H827" s="327">
        <v>82992</v>
      </c>
    </row>
    <row r="828" spans="2:8" x14ac:dyDescent="0.25">
      <c r="B828" s="325" t="s">
        <v>18</v>
      </c>
      <c r="C828" s="326">
        <v>11</v>
      </c>
      <c r="D828" s="327">
        <v>77686.911627906986</v>
      </c>
      <c r="E828" s="328"/>
      <c r="F828" s="325" t="s">
        <v>438</v>
      </c>
      <c r="G828" s="329">
        <v>12740</v>
      </c>
      <c r="H828" s="327">
        <v>12740</v>
      </c>
    </row>
    <row r="829" spans="2:8" x14ac:dyDescent="0.25">
      <c r="B829" s="330" t="s">
        <v>244</v>
      </c>
      <c r="C829" s="326">
        <v>2</v>
      </c>
      <c r="D829" s="327" t="s">
        <v>684</v>
      </c>
      <c r="E829" s="328"/>
      <c r="F829" s="330" t="s">
        <v>439</v>
      </c>
      <c r="G829" s="329">
        <v>10185.272902472754</v>
      </c>
      <c r="H829" s="327">
        <v>10511.862990720001</v>
      </c>
    </row>
    <row r="830" spans="2:8" x14ac:dyDescent="0.25">
      <c r="B830" s="331" t="s">
        <v>740</v>
      </c>
      <c r="C830" s="332">
        <v>14</v>
      </c>
      <c r="D830" s="333">
        <v>89842.899335257142</v>
      </c>
      <c r="E830" s="334"/>
      <c r="F830" s="331" t="s">
        <v>435</v>
      </c>
      <c r="G830" s="335">
        <v>112768.1722377299</v>
      </c>
      <c r="H830" s="333">
        <v>106243.86299071999</v>
      </c>
    </row>
    <row r="831" spans="2:8" x14ac:dyDescent="0.25">
      <c r="B831" s="320" t="s">
        <v>421</v>
      </c>
      <c r="C831" s="321"/>
      <c r="D831" s="322"/>
      <c r="E831" s="323"/>
      <c r="F831" s="320" t="s">
        <v>421</v>
      </c>
      <c r="G831" s="324"/>
      <c r="H831" s="322"/>
    </row>
    <row r="832" spans="2:8" x14ac:dyDescent="0.25">
      <c r="B832" s="325" t="s">
        <v>46</v>
      </c>
      <c r="C832" s="326">
        <v>7</v>
      </c>
      <c r="D832" s="327">
        <v>135728.11199999999</v>
      </c>
      <c r="E832" s="328"/>
      <c r="F832" s="325" t="s">
        <v>437</v>
      </c>
      <c r="G832" s="329">
        <v>112090.46318717682</v>
      </c>
      <c r="H832" s="327">
        <v>80970</v>
      </c>
    </row>
    <row r="833" spans="2:8" x14ac:dyDescent="0.25">
      <c r="B833" s="325" t="s">
        <v>18</v>
      </c>
      <c r="C833" s="326">
        <v>9</v>
      </c>
      <c r="D833" s="327">
        <v>88452.814374353664</v>
      </c>
      <c r="E833" s="328"/>
      <c r="F833" s="325" t="s">
        <v>438</v>
      </c>
      <c r="G833" s="329">
        <v>14332.5</v>
      </c>
      <c r="H833" s="327">
        <v>12740</v>
      </c>
    </row>
    <row r="834" spans="2:8" x14ac:dyDescent="0.25">
      <c r="B834" s="330" t="s">
        <v>244</v>
      </c>
      <c r="C834" s="326">
        <v>0</v>
      </c>
      <c r="D834" s="327" t="s">
        <v>684</v>
      </c>
      <c r="E834" s="328"/>
      <c r="F834" s="330" t="s">
        <v>439</v>
      </c>
      <c r="G834" s="329">
        <v>12451.590256158224</v>
      </c>
      <c r="H834" s="327">
        <v>10255.754125200001</v>
      </c>
    </row>
    <row r="835" spans="2:8" x14ac:dyDescent="0.25">
      <c r="B835" s="331" t="s">
        <v>740</v>
      </c>
      <c r="C835" s="332">
        <v>16</v>
      </c>
      <c r="D835" s="333">
        <v>112090.46318717682</v>
      </c>
      <c r="E835" s="334"/>
      <c r="F835" s="331" t="s">
        <v>435</v>
      </c>
      <c r="G835" s="335">
        <v>138874.55344333505</v>
      </c>
      <c r="H835" s="333">
        <v>103965.75412520001</v>
      </c>
    </row>
    <row r="836" spans="2:8" x14ac:dyDescent="0.25">
      <c r="B836" s="320" t="s">
        <v>422</v>
      </c>
      <c r="C836" s="321"/>
      <c r="D836" s="322"/>
      <c r="E836" s="323"/>
      <c r="F836" s="320" t="s">
        <v>422</v>
      </c>
      <c r="G836" s="324"/>
      <c r="H836" s="322"/>
    </row>
    <row r="837" spans="2:8" x14ac:dyDescent="0.25">
      <c r="B837" s="325" t="s">
        <v>46</v>
      </c>
      <c r="C837" s="326">
        <v>15</v>
      </c>
      <c r="D837" s="327">
        <v>89200.875</v>
      </c>
      <c r="E837" s="328"/>
      <c r="F837" s="325" t="s">
        <v>437</v>
      </c>
      <c r="G837" s="329">
        <v>83757.127067897483</v>
      </c>
      <c r="H837" s="327">
        <v>63258</v>
      </c>
    </row>
    <row r="838" spans="2:8" x14ac:dyDescent="0.25">
      <c r="B838" s="325" t="s">
        <v>18</v>
      </c>
      <c r="C838" s="326">
        <v>10</v>
      </c>
      <c r="D838" s="327">
        <v>66690.506203692465</v>
      </c>
      <c r="E838" s="328"/>
      <c r="F838" s="325" t="s">
        <v>438</v>
      </c>
      <c r="G838" s="329">
        <v>12740</v>
      </c>
      <c r="H838" s="327">
        <v>12740</v>
      </c>
    </row>
    <row r="839" spans="2:8" x14ac:dyDescent="0.25">
      <c r="B839" s="330" t="s">
        <v>244</v>
      </c>
      <c r="C839" s="326">
        <v>2</v>
      </c>
      <c r="D839" s="327" t="s">
        <v>684</v>
      </c>
      <c r="E839" s="328"/>
      <c r="F839" s="330" t="s">
        <v>439</v>
      </c>
      <c r="G839" s="329">
        <v>10834.988835819102</v>
      </c>
      <c r="H839" s="327">
        <v>8012.3316592800011</v>
      </c>
    </row>
    <row r="840" spans="2:8" x14ac:dyDescent="0.25">
      <c r="B840" s="331" t="s">
        <v>740</v>
      </c>
      <c r="C840" s="332">
        <v>27</v>
      </c>
      <c r="D840" s="333">
        <v>83757.127067897483</v>
      </c>
      <c r="E840" s="334"/>
      <c r="F840" s="331" t="s">
        <v>435</v>
      </c>
      <c r="G840" s="335">
        <v>107332.11590371659</v>
      </c>
      <c r="H840" s="333">
        <v>84010.331659279997</v>
      </c>
    </row>
    <row r="841" spans="2:8" x14ac:dyDescent="0.25">
      <c r="B841" s="320" t="s">
        <v>423</v>
      </c>
      <c r="C841" s="321"/>
      <c r="D841" s="322"/>
      <c r="E841" s="323"/>
      <c r="F841" s="320" t="s">
        <v>423</v>
      </c>
      <c r="G841" s="324"/>
      <c r="H841" s="322"/>
    </row>
    <row r="842" spans="2:8" x14ac:dyDescent="0.25">
      <c r="B842" s="325" t="s">
        <v>46</v>
      </c>
      <c r="C842" s="326">
        <v>4</v>
      </c>
      <c r="D842" s="327" t="s">
        <v>684</v>
      </c>
      <c r="E842" s="328"/>
      <c r="F842" s="325" t="s">
        <v>437</v>
      </c>
      <c r="G842" s="329">
        <v>68216.767036463716</v>
      </c>
      <c r="H842" s="327">
        <v>61710</v>
      </c>
    </row>
    <row r="843" spans="2:8" x14ac:dyDescent="0.25">
      <c r="B843" s="325" t="s">
        <v>18</v>
      </c>
      <c r="C843" s="326">
        <v>10</v>
      </c>
      <c r="D843" s="327">
        <v>69885.501109391131</v>
      </c>
      <c r="E843" s="328"/>
      <c r="F843" s="325" t="s">
        <v>438</v>
      </c>
      <c r="G843" s="329">
        <v>12740</v>
      </c>
      <c r="H843" s="327">
        <v>12740</v>
      </c>
    </row>
    <row r="844" spans="2:8" x14ac:dyDescent="0.25">
      <c r="B844" s="330" t="s">
        <v>244</v>
      </c>
      <c r="C844" s="326">
        <v>3</v>
      </c>
      <c r="D844" s="327" t="s">
        <v>684</v>
      </c>
      <c r="E844" s="328"/>
      <c r="F844" s="330" t="s">
        <v>439</v>
      </c>
      <c r="G844" s="329">
        <v>8977.8658744377281</v>
      </c>
      <c r="H844" s="327">
        <v>7816.2601836000003</v>
      </c>
    </row>
    <row r="845" spans="2:8" x14ac:dyDescent="0.25">
      <c r="B845" s="331" t="s">
        <v>740</v>
      </c>
      <c r="C845" s="332">
        <v>17</v>
      </c>
      <c r="D845" s="333">
        <v>68216.767036463716</v>
      </c>
      <c r="E845" s="334"/>
      <c r="F845" s="331" t="s">
        <v>435</v>
      </c>
      <c r="G845" s="335">
        <v>89934.632910901448</v>
      </c>
      <c r="H845" s="333">
        <v>82266.260183599996</v>
      </c>
    </row>
    <row r="846" spans="2:8" x14ac:dyDescent="0.25">
      <c r="B846" s="320" t="s">
        <v>743</v>
      </c>
      <c r="C846" s="321"/>
      <c r="D846" s="322"/>
      <c r="E846" s="323"/>
      <c r="F846" s="320" t="s">
        <v>743</v>
      </c>
      <c r="G846" s="324"/>
      <c r="H846" s="322"/>
    </row>
    <row r="847" spans="2:8" x14ac:dyDescent="0.25">
      <c r="B847" s="325" t="s">
        <v>46</v>
      </c>
      <c r="C847" s="326">
        <v>0</v>
      </c>
      <c r="D847" s="327" t="s">
        <v>684</v>
      </c>
      <c r="E847" s="328"/>
      <c r="F847" s="325" t="s">
        <v>437</v>
      </c>
      <c r="G847" s="329">
        <v>81195.254395036187</v>
      </c>
      <c r="H847" s="327">
        <v>60228</v>
      </c>
    </row>
    <row r="848" spans="2:8" x14ac:dyDescent="0.25">
      <c r="B848" s="325" t="s">
        <v>18</v>
      </c>
      <c r="C848" s="326">
        <v>7</v>
      </c>
      <c r="D848" s="327">
        <v>81195.254395036187</v>
      </c>
      <c r="E848" s="328"/>
      <c r="F848" s="325" t="s">
        <v>438</v>
      </c>
      <c r="G848" s="329">
        <v>12740</v>
      </c>
      <c r="H848" s="327">
        <v>12740</v>
      </c>
    </row>
    <row r="849" spans="2:8" x14ac:dyDescent="0.25">
      <c r="B849" s="330" t="s">
        <v>244</v>
      </c>
      <c r="C849" s="326">
        <v>0</v>
      </c>
      <c r="D849" s="327" t="s">
        <v>684</v>
      </c>
      <c r="E849" s="328"/>
      <c r="F849" s="330" t="s">
        <v>439</v>
      </c>
      <c r="G849" s="329">
        <v>10548.860817238256</v>
      </c>
      <c r="H849" s="327">
        <v>7628.5483444800002</v>
      </c>
    </row>
    <row r="850" spans="2:8" x14ac:dyDescent="0.25">
      <c r="B850" s="331" t="s">
        <v>740</v>
      </c>
      <c r="C850" s="332">
        <v>7</v>
      </c>
      <c r="D850" s="333">
        <v>81195.254395036187</v>
      </c>
      <c r="E850" s="334"/>
      <c r="F850" s="331" t="s">
        <v>435</v>
      </c>
      <c r="G850" s="335">
        <v>104484.11521227444</v>
      </c>
      <c r="H850" s="333">
        <v>80596.548344480005</v>
      </c>
    </row>
    <row r="851" spans="2:8" x14ac:dyDescent="0.25">
      <c r="B851" s="320" t="s">
        <v>424</v>
      </c>
      <c r="C851" s="321"/>
      <c r="D851" s="322"/>
      <c r="E851" s="323"/>
      <c r="F851" s="320" t="s">
        <v>424</v>
      </c>
      <c r="G851" s="324"/>
      <c r="H851" s="322"/>
    </row>
    <row r="852" spans="2:8" x14ac:dyDescent="0.25">
      <c r="B852" s="325" t="s">
        <v>46</v>
      </c>
      <c r="C852" s="326">
        <v>5</v>
      </c>
      <c r="D852" s="327">
        <v>88362.96</v>
      </c>
      <c r="E852" s="328"/>
      <c r="F852" s="325" t="s">
        <v>437</v>
      </c>
      <c r="G852" s="329">
        <v>77481.08596488992</v>
      </c>
      <c r="H852" s="327">
        <v>58734</v>
      </c>
    </row>
    <row r="853" spans="2:8" x14ac:dyDescent="0.25">
      <c r="B853" s="325" t="s">
        <v>18</v>
      </c>
      <c r="C853" s="326">
        <v>6</v>
      </c>
      <c r="D853" s="327">
        <v>72619.297894669755</v>
      </c>
      <c r="E853" s="328"/>
      <c r="F853" s="325" t="s">
        <v>438</v>
      </c>
      <c r="G853" s="329">
        <v>12740</v>
      </c>
      <c r="H853" s="327">
        <v>12740</v>
      </c>
    </row>
    <row r="854" spans="2:8" x14ac:dyDescent="0.25">
      <c r="B854" s="330" t="s">
        <v>244</v>
      </c>
      <c r="C854" s="326">
        <v>3</v>
      </c>
      <c r="D854" s="327" t="s">
        <v>684</v>
      </c>
      <c r="E854" s="328"/>
      <c r="F854" s="330" t="s">
        <v>439</v>
      </c>
      <c r="G854" s="329">
        <v>9124.8059886063311</v>
      </c>
      <c r="H854" s="327">
        <v>7439.3165714400011</v>
      </c>
    </row>
    <row r="855" spans="2:8" x14ac:dyDescent="0.25">
      <c r="B855" s="331" t="s">
        <v>740</v>
      </c>
      <c r="C855" s="332">
        <v>14</v>
      </c>
      <c r="D855" s="333">
        <v>77481.08596488992</v>
      </c>
      <c r="E855" s="334"/>
      <c r="F855" s="331" t="s">
        <v>435</v>
      </c>
      <c r="G855" s="335">
        <v>99345.891953496248</v>
      </c>
      <c r="H855" s="333">
        <v>78913.316571439995</v>
      </c>
    </row>
    <row r="856" spans="2:8" x14ac:dyDescent="0.25">
      <c r="B856" s="320" t="s">
        <v>744</v>
      </c>
      <c r="C856" s="321"/>
      <c r="D856" s="322"/>
      <c r="E856" s="323"/>
      <c r="F856" s="320" t="s">
        <v>744</v>
      </c>
      <c r="G856" s="324"/>
      <c r="H856" s="322"/>
    </row>
    <row r="857" spans="2:8" x14ac:dyDescent="0.25">
      <c r="B857" s="325" t="s">
        <v>46</v>
      </c>
      <c r="C857" s="326">
        <v>7</v>
      </c>
      <c r="D857" s="327">
        <v>80638</v>
      </c>
      <c r="E857" s="328"/>
      <c r="F857" s="325" t="s">
        <v>437</v>
      </c>
      <c r="G857" s="329">
        <v>80764.329215911901</v>
      </c>
      <c r="H857" s="327">
        <v>69864</v>
      </c>
    </row>
    <row r="858" spans="2:8" x14ac:dyDescent="0.25">
      <c r="B858" s="325" t="s">
        <v>18</v>
      </c>
      <c r="C858" s="326">
        <v>7</v>
      </c>
      <c r="D858" s="327">
        <v>82283.965116279069</v>
      </c>
      <c r="E858" s="328"/>
      <c r="F858" s="325" t="s">
        <v>438</v>
      </c>
      <c r="G858" s="329">
        <v>12740</v>
      </c>
      <c r="H858" s="327">
        <v>12740</v>
      </c>
    </row>
    <row r="859" spans="2:8" x14ac:dyDescent="0.25">
      <c r="B859" s="330" t="s">
        <v>244</v>
      </c>
      <c r="C859" s="326">
        <v>4</v>
      </c>
      <c r="D859" s="327" t="s">
        <v>684</v>
      </c>
      <c r="E859" s="328"/>
      <c r="F859" s="330" t="s">
        <v>439</v>
      </c>
      <c r="G859" s="329">
        <v>10149.544910878272</v>
      </c>
      <c r="H859" s="327">
        <v>8849.0552822400005</v>
      </c>
    </row>
    <row r="860" spans="2:8" x14ac:dyDescent="0.25">
      <c r="B860" s="331" t="s">
        <v>740</v>
      </c>
      <c r="C860" s="332">
        <v>18</v>
      </c>
      <c r="D860" s="333">
        <v>80764.329215911901</v>
      </c>
      <c r="E860" s="334"/>
      <c r="F860" s="331" t="s">
        <v>435</v>
      </c>
      <c r="G860" s="335">
        <v>103653.87412679018</v>
      </c>
      <c r="H860" s="333">
        <v>91453.055282240006</v>
      </c>
    </row>
    <row r="861" spans="2:8" x14ac:dyDescent="0.25">
      <c r="B861" s="314" t="s">
        <v>8</v>
      </c>
      <c r="C861" s="315"/>
      <c r="D861" s="316"/>
      <c r="E861" s="313"/>
      <c r="F861" s="314" t="s">
        <v>8</v>
      </c>
      <c r="G861" s="315"/>
      <c r="H861" s="316"/>
    </row>
    <row r="862" spans="2:8" ht="30" x14ac:dyDescent="0.25">
      <c r="B862" s="317" t="s">
        <v>47</v>
      </c>
      <c r="C862" s="318" t="s">
        <v>432</v>
      </c>
      <c r="D862" s="319" t="s">
        <v>436</v>
      </c>
      <c r="E862" s="313"/>
      <c r="F862" s="317" t="s">
        <v>47</v>
      </c>
      <c r="G862" s="318" t="s">
        <v>740</v>
      </c>
      <c r="H862" s="319" t="s">
        <v>48</v>
      </c>
    </row>
    <row r="863" spans="2:8" x14ac:dyDescent="0.25">
      <c r="B863" s="320" t="s">
        <v>376</v>
      </c>
      <c r="C863" s="321"/>
      <c r="D863" s="322"/>
      <c r="E863" s="323"/>
      <c r="F863" s="320" t="s">
        <v>376</v>
      </c>
      <c r="G863" s="324"/>
      <c r="H863" s="322"/>
    </row>
    <row r="864" spans="2:8" x14ac:dyDescent="0.25">
      <c r="B864" s="325" t="s">
        <v>46</v>
      </c>
      <c r="C864" s="326">
        <v>13</v>
      </c>
      <c r="D864" s="327">
        <v>93704.79</v>
      </c>
      <c r="E864" s="328"/>
      <c r="F864" s="325" t="s">
        <v>437</v>
      </c>
      <c r="G864" s="329">
        <v>93352.39499999999</v>
      </c>
      <c r="H864" s="327">
        <v>66432</v>
      </c>
    </row>
    <row r="865" spans="2:8" x14ac:dyDescent="0.25">
      <c r="B865" s="325" t="s">
        <v>18</v>
      </c>
      <c r="C865" s="326">
        <v>0</v>
      </c>
      <c r="D865" s="327" t="s">
        <v>684</v>
      </c>
      <c r="E865" s="328"/>
      <c r="F865" s="325" t="s">
        <v>438</v>
      </c>
      <c r="G865" s="329">
        <v>12740</v>
      </c>
      <c r="H865" s="327">
        <v>12740</v>
      </c>
    </row>
    <row r="866" spans="2:8" x14ac:dyDescent="0.25">
      <c r="B866" s="330" t="s">
        <v>244</v>
      </c>
      <c r="C866" s="326">
        <v>5</v>
      </c>
      <c r="D866" s="327">
        <v>93000</v>
      </c>
      <c r="E866" s="328"/>
      <c r="F866" s="330" t="s">
        <v>439</v>
      </c>
      <c r="G866" s="329">
        <v>9990.5256561599999</v>
      </c>
      <c r="H866" s="327">
        <v>8414.3541811200012</v>
      </c>
    </row>
    <row r="867" spans="2:8" x14ac:dyDescent="0.25">
      <c r="B867" s="331" t="s">
        <v>740</v>
      </c>
      <c r="C867" s="332">
        <v>18</v>
      </c>
      <c r="D867" s="333">
        <v>93352.39499999999</v>
      </c>
      <c r="E867" s="334"/>
      <c r="F867" s="331" t="s">
        <v>435</v>
      </c>
      <c r="G867" s="335">
        <v>116082.92065615999</v>
      </c>
      <c r="H867" s="333">
        <v>87586.354181119998</v>
      </c>
    </row>
    <row r="868" spans="2:8" x14ac:dyDescent="0.25">
      <c r="B868" s="314" t="s">
        <v>52</v>
      </c>
      <c r="C868" s="315"/>
      <c r="D868" s="316"/>
      <c r="E868" s="313"/>
      <c r="F868" s="314" t="s">
        <v>52</v>
      </c>
      <c r="G868" s="315"/>
      <c r="H868" s="316"/>
    </row>
    <row r="869" spans="2:8" ht="30" x14ac:dyDescent="0.25">
      <c r="B869" s="317" t="s">
        <v>47</v>
      </c>
      <c r="C869" s="318" t="s">
        <v>432</v>
      </c>
      <c r="D869" s="319" t="s">
        <v>436</v>
      </c>
      <c r="E869" s="313"/>
      <c r="F869" s="317" t="s">
        <v>47</v>
      </c>
      <c r="G869" s="318" t="s">
        <v>740</v>
      </c>
      <c r="H869" s="319" t="s">
        <v>48</v>
      </c>
    </row>
    <row r="870" spans="2:8" x14ac:dyDescent="0.25">
      <c r="B870" s="320" t="s">
        <v>377</v>
      </c>
      <c r="C870" s="321"/>
      <c r="D870" s="322"/>
      <c r="E870" s="323"/>
      <c r="F870" s="320" t="s">
        <v>377</v>
      </c>
      <c r="G870" s="324"/>
      <c r="H870" s="322"/>
    </row>
    <row r="871" spans="2:8" x14ac:dyDescent="0.25">
      <c r="B871" s="325" t="s">
        <v>46</v>
      </c>
      <c r="C871" s="326">
        <v>2</v>
      </c>
      <c r="D871" s="327" t="s">
        <v>684</v>
      </c>
      <c r="E871" s="328"/>
      <c r="F871" s="325" t="s">
        <v>437</v>
      </c>
      <c r="G871" s="329">
        <v>48673</v>
      </c>
      <c r="H871" s="327">
        <v>40938</v>
      </c>
    </row>
    <row r="872" spans="2:8" x14ac:dyDescent="0.25">
      <c r="B872" s="325" t="s">
        <v>18</v>
      </c>
      <c r="C872" s="326">
        <v>0</v>
      </c>
      <c r="D872" s="327" t="s">
        <v>684</v>
      </c>
      <c r="E872" s="328"/>
      <c r="F872" s="325" t="s">
        <v>438</v>
      </c>
      <c r="G872" s="329">
        <v>12740</v>
      </c>
      <c r="H872" s="327">
        <v>12740</v>
      </c>
    </row>
    <row r="873" spans="2:8" x14ac:dyDescent="0.25">
      <c r="B873" s="330" t="s">
        <v>244</v>
      </c>
      <c r="C873" s="326">
        <v>3</v>
      </c>
      <c r="D873" s="327" t="s">
        <v>684</v>
      </c>
      <c r="E873" s="328"/>
      <c r="F873" s="330" t="s">
        <v>439</v>
      </c>
      <c r="G873" s="329">
        <v>1610.44</v>
      </c>
      <c r="H873" s="327">
        <v>5185.2545680800004</v>
      </c>
    </row>
    <row r="874" spans="2:8" x14ac:dyDescent="0.25">
      <c r="B874" s="331" t="s">
        <v>740</v>
      </c>
      <c r="C874" s="332">
        <v>5</v>
      </c>
      <c r="D874" s="333">
        <v>48673</v>
      </c>
      <c r="E874" s="334"/>
      <c r="F874" s="331" t="s">
        <v>435</v>
      </c>
      <c r="G874" s="335">
        <v>63023.44</v>
      </c>
      <c r="H874" s="333">
        <v>58863.254568080003</v>
      </c>
    </row>
    <row r="875" spans="2:8" x14ac:dyDescent="0.25">
      <c r="B875" s="320" t="s">
        <v>378</v>
      </c>
      <c r="C875" s="321"/>
      <c r="D875" s="322"/>
      <c r="E875" s="323"/>
      <c r="F875" s="320" t="s">
        <v>378</v>
      </c>
      <c r="G875" s="324"/>
      <c r="H875" s="322"/>
    </row>
    <row r="876" spans="2:8" x14ac:dyDescent="0.25">
      <c r="B876" s="325" t="s">
        <v>46</v>
      </c>
      <c r="C876" s="326">
        <v>0</v>
      </c>
      <c r="D876" s="327" t="s">
        <v>684</v>
      </c>
      <c r="E876" s="328"/>
      <c r="F876" s="325" t="s">
        <v>437</v>
      </c>
      <c r="G876" s="329">
        <v>66386.878594293536</v>
      </c>
      <c r="H876" s="327">
        <v>57306</v>
      </c>
    </row>
    <row r="877" spans="2:8" x14ac:dyDescent="0.25">
      <c r="B877" s="325" t="s">
        <v>18</v>
      </c>
      <c r="C877" s="326">
        <v>6</v>
      </c>
      <c r="D877" s="327">
        <v>67973.757188587071</v>
      </c>
      <c r="E877" s="328"/>
      <c r="F877" s="325" t="s">
        <v>438</v>
      </c>
      <c r="G877" s="329">
        <v>12740</v>
      </c>
      <c r="H877" s="327">
        <v>12740</v>
      </c>
    </row>
    <row r="878" spans="2:8" x14ac:dyDescent="0.25">
      <c r="B878" s="330" t="s">
        <v>244</v>
      </c>
      <c r="C878" s="326">
        <v>3</v>
      </c>
      <c r="D878" s="327" t="s">
        <v>684</v>
      </c>
      <c r="E878" s="328"/>
      <c r="F878" s="330" t="s">
        <v>439</v>
      </c>
      <c r="G878" s="329">
        <v>8722.2909515182546</v>
      </c>
      <c r="H878" s="327">
        <v>7258.4444349600008</v>
      </c>
    </row>
    <row r="879" spans="2:8" x14ac:dyDescent="0.25">
      <c r="B879" s="331" t="s">
        <v>740</v>
      </c>
      <c r="C879" s="332">
        <v>9</v>
      </c>
      <c r="D879" s="333">
        <v>66386.878594293536</v>
      </c>
      <c r="E879" s="334"/>
      <c r="F879" s="331" t="s">
        <v>435</v>
      </c>
      <c r="G879" s="335">
        <v>87849.16954581179</v>
      </c>
      <c r="H879" s="333">
        <v>77304.444434959994</v>
      </c>
    </row>
    <row r="880" spans="2:8" ht="14.65" customHeight="1" x14ac:dyDescent="0.25">
      <c r="B880" s="314" t="s">
        <v>2</v>
      </c>
      <c r="C880" s="315"/>
      <c r="D880" s="316"/>
      <c r="E880" s="313"/>
      <c r="F880" s="314" t="s">
        <v>2</v>
      </c>
      <c r="G880" s="315"/>
      <c r="H880" s="316"/>
    </row>
    <row r="881" spans="2:8" ht="30" x14ac:dyDescent="0.25">
      <c r="B881" s="317" t="s">
        <v>47</v>
      </c>
      <c r="C881" s="318" t="s">
        <v>432</v>
      </c>
      <c r="D881" s="319" t="s">
        <v>436</v>
      </c>
      <c r="E881" s="313"/>
      <c r="F881" s="317" t="s">
        <v>47</v>
      </c>
      <c r="G881" s="318" t="s">
        <v>740</v>
      </c>
      <c r="H881" s="319" t="s">
        <v>48</v>
      </c>
    </row>
    <row r="882" spans="2:8" x14ac:dyDescent="0.25">
      <c r="B882" s="320" t="s">
        <v>379</v>
      </c>
      <c r="C882" s="321"/>
      <c r="D882" s="322"/>
      <c r="E882" s="323"/>
      <c r="F882" s="320" t="s">
        <v>379</v>
      </c>
      <c r="G882" s="324"/>
      <c r="H882" s="322"/>
    </row>
    <row r="883" spans="2:8" x14ac:dyDescent="0.25">
      <c r="B883" s="325" t="s">
        <v>46</v>
      </c>
      <c r="C883" s="326">
        <v>8</v>
      </c>
      <c r="D883" s="327">
        <v>67210.100000000006</v>
      </c>
      <c r="E883" s="328"/>
      <c r="F883" s="325" t="s">
        <v>437</v>
      </c>
      <c r="G883" s="329">
        <v>57135.05</v>
      </c>
      <c r="H883" s="327">
        <v>43554</v>
      </c>
    </row>
    <row r="884" spans="2:8" x14ac:dyDescent="0.25">
      <c r="B884" s="325" t="s">
        <v>18</v>
      </c>
      <c r="C884" s="326">
        <v>0</v>
      </c>
      <c r="D884" s="327" t="s">
        <v>684</v>
      </c>
      <c r="E884" s="328"/>
      <c r="F884" s="325" t="s">
        <v>438</v>
      </c>
      <c r="G884" s="329">
        <v>12740</v>
      </c>
      <c r="H884" s="327">
        <v>12740</v>
      </c>
    </row>
    <row r="885" spans="2:8" x14ac:dyDescent="0.25">
      <c r="B885" s="330" t="s">
        <v>244</v>
      </c>
      <c r="C885" s="326">
        <v>5</v>
      </c>
      <c r="D885" s="327">
        <v>47060</v>
      </c>
      <c r="E885" s="328"/>
      <c r="F885" s="330" t="s">
        <v>439</v>
      </c>
      <c r="G885" s="329">
        <v>8039.3794379823785</v>
      </c>
      <c r="H885" s="327">
        <v>5516.6001626400002</v>
      </c>
    </row>
    <row r="886" spans="2:8" x14ac:dyDescent="0.25">
      <c r="B886" s="331" t="s">
        <v>740</v>
      </c>
      <c r="C886" s="332">
        <v>13</v>
      </c>
      <c r="D886" s="333">
        <v>57135.05</v>
      </c>
      <c r="E886" s="334"/>
      <c r="F886" s="331" t="s">
        <v>435</v>
      </c>
      <c r="G886" s="335">
        <v>77914.429437982384</v>
      </c>
      <c r="H886" s="333">
        <v>61810.600162640003</v>
      </c>
    </row>
    <row r="887" spans="2:8" x14ac:dyDescent="0.25">
      <c r="B887" s="320" t="s">
        <v>380</v>
      </c>
      <c r="C887" s="321"/>
      <c r="D887" s="322"/>
      <c r="E887" s="323"/>
      <c r="F887" s="320" t="s">
        <v>380</v>
      </c>
      <c r="G887" s="324"/>
      <c r="H887" s="322"/>
    </row>
    <row r="888" spans="2:8" x14ac:dyDescent="0.25">
      <c r="B888" s="325" t="s">
        <v>46</v>
      </c>
      <c r="C888" s="326">
        <v>5</v>
      </c>
      <c r="D888" s="327">
        <v>117685</v>
      </c>
      <c r="E888" s="328"/>
      <c r="F888" s="325" t="s">
        <v>437</v>
      </c>
      <c r="G888" s="329">
        <v>116592.5</v>
      </c>
      <c r="H888" s="327">
        <v>82992</v>
      </c>
    </row>
    <row r="889" spans="2:8" x14ac:dyDescent="0.25">
      <c r="B889" s="325" t="s">
        <v>18</v>
      </c>
      <c r="C889" s="326">
        <v>0</v>
      </c>
      <c r="D889" s="327" t="s">
        <v>684</v>
      </c>
      <c r="E889" s="328"/>
      <c r="F889" s="325" t="s">
        <v>438</v>
      </c>
      <c r="G889" s="329">
        <v>12740</v>
      </c>
      <c r="H889" s="327">
        <v>12740</v>
      </c>
    </row>
    <row r="890" spans="2:8" x14ac:dyDescent="0.25">
      <c r="B890" s="330" t="s">
        <v>244</v>
      </c>
      <c r="C890" s="326">
        <v>4</v>
      </c>
      <c r="D890" s="327" t="s">
        <v>684</v>
      </c>
      <c r="E890" s="328"/>
      <c r="F890" s="330" t="s">
        <v>439</v>
      </c>
      <c r="G890" s="329">
        <v>12289.946250342478</v>
      </c>
      <c r="H890" s="327">
        <v>10511.862990720001</v>
      </c>
    </row>
    <row r="891" spans="2:8" x14ac:dyDescent="0.25">
      <c r="B891" s="331" t="s">
        <v>740</v>
      </c>
      <c r="C891" s="332">
        <v>9</v>
      </c>
      <c r="D891" s="333">
        <v>116592.5</v>
      </c>
      <c r="E891" s="334"/>
      <c r="F891" s="331" t="s">
        <v>435</v>
      </c>
      <c r="G891" s="335">
        <v>141622.44625034247</v>
      </c>
      <c r="H891" s="333">
        <v>106243.86299071999</v>
      </c>
    </row>
    <row r="892" spans="2:8" x14ac:dyDescent="0.25">
      <c r="B892" s="320" t="s">
        <v>425</v>
      </c>
      <c r="C892" s="321"/>
      <c r="D892" s="322"/>
      <c r="E892" s="323"/>
      <c r="F892" s="320" t="s">
        <v>425</v>
      </c>
      <c r="G892" s="324"/>
      <c r="H892" s="322"/>
    </row>
    <row r="893" spans="2:8" x14ac:dyDescent="0.25">
      <c r="B893" s="325" t="s">
        <v>46</v>
      </c>
      <c r="C893" s="326">
        <v>15</v>
      </c>
      <c r="D893" s="327">
        <v>96972</v>
      </c>
      <c r="E893" s="328"/>
      <c r="F893" s="325" t="s">
        <v>437</v>
      </c>
      <c r="G893" s="329">
        <v>96972</v>
      </c>
      <c r="H893" s="327">
        <v>79002</v>
      </c>
    </row>
    <row r="894" spans="2:8" x14ac:dyDescent="0.25">
      <c r="B894" s="325" t="s">
        <v>18</v>
      </c>
      <c r="C894" s="326">
        <v>0</v>
      </c>
      <c r="D894" s="327" t="s">
        <v>684</v>
      </c>
      <c r="E894" s="328"/>
      <c r="F894" s="325" t="s">
        <v>438</v>
      </c>
      <c r="G894" s="329">
        <v>14332.5</v>
      </c>
      <c r="H894" s="327">
        <v>12740</v>
      </c>
    </row>
    <row r="895" spans="2:8" x14ac:dyDescent="0.25">
      <c r="B895" s="330" t="s">
        <v>244</v>
      </c>
      <c r="C895" s="326">
        <v>0</v>
      </c>
      <c r="D895" s="327" t="s">
        <v>684</v>
      </c>
      <c r="E895" s="328"/>
      <c r="F895" s="330" t="s">
        <v>439</v>
      </c>
      <c r="G895" s="329">
        <v>12282.586007520002</v>
      </c>
      <c r="H895" s="327">
        <v>10006.484962320001</v>
      </c>
    </row>
    <row r="896" spans="2:8" x14ac:dyDescent="0.25">
      <c r="B896" s="331" t="s">
        <v>740</v>
      </c>
      <c r="C896" s="332">
        <v>15</v>
      </c>
      <c r="D896" s="333">
        <v>96972</v>
      </c>
      <c r="E896" s="334"/>
      <c r="F896" s="331" t="s">
        <v>435</v>
      </c>
      <c r="G896" s="335">
        <v>123587.08600752</v>
      </c>
      <c r="H896" s="333">
        <v>101748.48496232</v>
      </c>
    </row>
    <row r="897" spans="2:8" x14ac:dyDescent="0.25">
      <c r="B897" s="320" t="s">
        <v>426</v>
      </c>
      <c r="C897" s="321"/>
      <c r="D897" s="322"/>
      <c r="E897" s="323"/>
      <c r="F897" s="320" t="s">
        <v>426</v>
      </c>
      <c r="G897" s="324"/>
      <c r="H897" s="322"/>
    </row>
    <row r="898" spans="2:8" x14ac:dyDescent="0.25">
      <c r="B898" s="325" t="s">
        <v>46</v>
      </c>
      <c r="C898" s="326">
        <v>5</v>
      </c>
      <c r="D898" s="327">
        <v>72055.5</v>
      </c>
      <c r="E898" s="328"/>
      <c r="F898" s="325" t="s">
        <v>437</v>
      </c>
      <c r="G898" s="329">
        <v>64277.75</v>
      </c>
      <c r="H898" s="327">
        <v>54096</v>
      </c>
    </row>
    <row r="899" spans="2:8" x14ac:dyDescent="0.25">
      <c r="B899" s="325" t="s">
        <v>18</v>
      </c>
      <c r="C899" s="326">
        <v>0</v>
      </c>
      <c r="D899" s="327" t="s">
        <v>684</v>
      </c>
      <c r="E899" s="328"/>
      <c r="F899" s="325" t="s">
        <v>438</v>
      </c>
      <c r="G899" s="329">
        <v>12740</v>
      </c>
      <c r="H899" s="327">
        <v>12740</v>
      </c>
    </row>
    <row r="900" spans="2:8" x14ac:dyDescent="0.25">
      <c r="B900" s="330" t="s">
        <v>244</v>
      </c>
      <c r="C900" s="326">
        <v>2</v>
      </c>
      <c r="D900" s="327" t="s">
        <v>684</v>
      </c>
      <c r="E900" s="328"/>
      <c r="F900" s="330" t="s">
        <v>439</v>
      </c>
      <c r="G900" s="329">
        <v>8039.3794379823785</v>
      </c>
      <c r="H900" s="327">
        <v>6851.8621113600011</v>
      </c>
    </row>
    <row r="901" spans="2:8" x14ac:dyDescent="0.25">
      <c r="B901" s="331" t="s">
        <v>740</v>
      </c>
      <c r="C901" s="332">
        <v>7</v>
      </c>
      <c r="D901" s="333">
        <v>64277.75</v>
      </c>
      <c r="E901" s="334"/>
      <c r="F901" s="331" t="s">
        <v>435</v>
      </c>
      <c r="G901" s="335">
        <v>85057.129437982381</v>
      </c>
      <c r="H901" s="333">
        <v>73687.862111359995</v>
      </c>
    </row>
    <row r="902" spans="2:8" x14ac:dyDescent="0.25">
      <c r="B902" s="320" t="s">
        <v>381</v>
      </c>
      <c r="C902" s="321"/>
      <c r="D902" s="322"/>
      <c r="E902" s="323"/>
      <c r="F902" s="320" t="s">
        <v>381</v>
      </c>
      <c r="G902" s="324"/>
      <c r="H902" s="322"/>
    </row>
    <row r="903" spans="2:8" x14ac:dyDescent="0.25">
      <c r="B903" s="325" t="s">
        <v>46</v>
      </c>
      <c r="C903" s="326">
        <v>0</v>
      </c>
      <c r="D903" s="327" t="s">
        <v>684</v>
      </c>
      <c r="E903" s="328"/>
      <c r="F903" s="325" t="s">
        <v>437</v>
      </c>
      <c r="G903" s="329">
        <v>81906.797586932051</v>
      </c>
      <c r="H903" s="327">
        <v>64344</v>
      </c>
    </row>
    <row r="904" spans="2:8" x14ac:dyDescent="0.25">
      <c r="B904" s="325" t="s">
        <v>18</v>
      </c>
      <c r="C904" s="326">
        <v>10</v>
      </c>
      <c r="D904" s="327">
        <v>80457.455101282612</v>
      </c>
      <c r="E904" s="328"/>
      <c r="F904" s="325" t="s">
        <v>438</v>
      </c>
      <c r="G904" s="329">
        <v>12740</v>
      </c>
      <c r="H904" s="327">
        <v>12740</v>
      </c>
    </row>
    <row r="905" spans="2:8" x14ac:dyDescent="0.25">
      <c r="B905" s="330" t="s">
        <v>244</v>
      </c>
      <c r="C905" s="326">
        <v>4</v>
      </c>
      <c r="D905" s="327" t="s">
        <v>684</v>
      </c>
      <c r="E905" s="328"/>
      <c r="F905" s="330" t="s">
        <v>439</v>
      </c>
      <c r="G905" s="329">
        <v>9832.6506662878455</v>
      </c>
      <c r="H905" s="327">
        <v>8149.8856790400014</v>
      </c>
    </row>
    <row r="906" spans="2:8" x14ac:dyDescent="0.25">
      <c r="B906" s="331" t="s">
        <v>740</v>
      </c>
      <c r="C906" s="332">
        <v>14</v>
      </c>
      <c r="D906" s="333">
        <v>81906.797586932051</v>
      </c>
      <c r="E906" s="334"/>
      <c r="F906" s="331" t="s">
        <v>435</v>
      </c>
      <c r="G906" s="335">
        <v>104479.44825321989</v>
      </c>
      <c r="H906" s="333">
        <v>85233.885679040002</v>
      </c>
    </row>
    <row r="907" spans="2:8" x14ac:dyDescent="0.25">
      <c r="B907" s="320" t="s">
        <v>427</v>
      </c>
      <c r="C907" s="321"/>
      <c r="D907" s="322"/>
      <c r="E907" s="323"/>
      <c r="F907" s="320" t="s">
        <v>427</v>
      </c>
      <c r="G907" s="324"/>
      <c r="H907" s="322"/>
    </row>
    <row r="908" spans="2:8" x14ac:dyDescent="0.25">
      <c r="B908" s="325" t="s">
        <v>46</v>
      </c>
      <c r="C908" s="326">
        <v>1</v>
      </c>
      <c r="D908" s="327" t="s">
        <v>684</v>
      </c>
      <c r="E908" s="328"/>
      <c r="F908" s="325" t="s">
        <v>437</v>
      </c>
      <c r="G908" s="329">
        <v>70526.121568627452</v>
      </c>
      <c r="H908" s="327">
        <v>68994</v>
      </c>
    </row>
    <row r="909" spans="2:8" x14ac:dyDescent="0.25">
      <c r="B909" s="325" t="s">
        <v>18</v>
      </c>
      <c r="C909" s="326">
        <v>11</v>
      </c>
      <c r="D909" s="327">
        <v>62636.243137254896</v>
      </c>
      <c r="E909" s="328"/>
      <c r="F909" s="325" t="s">
        <v>438</v>
      </c>
      <c r="G909" s="329">
        <v>12740</v>
      </c>
      <c r="H909" s="327">
        <v>12740</v>
      </c>
    </row>
    <row r="910" spans="2:8" x14ac:dyDescent="0.25">
      <c r="B910" s="330" t="s">
        <v>244</v>
      </c>
      <c r="C910" s="326">
        <v>0</v>
      </c>
      <c r="D910" s="327" t="s">
        <v>684</v>
      </c>
      <c r="E910" s="328"/>
      <c r="F910" s="330" t="s">
        <v>439</v>
      </c>
      <c r="G910" s="329">
        <v>8163.4681994729099</v>
      </c>
      <c r="H910" s="327">
        <v>8738.8600730400012</v>
      </c>
    </row>
    <row r="911" spans="2:8" x14ac:dyDescent="0.25">
      <c r="B911" s="331" t="s">
        <v>740</v>
      </c>
      <c r="C911" s="332">
        <v>12</v>
      </c>
      <c r="D911" s="333">
        <v>70526.121568627452</v>
      </c>
      <c r="E911" s="334"/>
      <c r="F911" s="331" t="s">
        <v>435</v>
      </c>
      <c r="G911" s="335">
        <v>91429.589768100355</v>
      </c>
      <c r="H911" s="333">
        <v>90472.860073040007</v>
      </c>
    </row>
    <row r="912" spans="2:8" x14ac:dyDescent="0.25">
      <c r="B912" s="320" t="s">
        <v>428</v>
      </c>
      <c r="C912" s="321"/>
      <c r="D912" s="322"/>
      <c r="E912" s="323"/>
      <c r="F912" s="320" t="s">
        <v>428</v>
      </c>
      <c r="G912" s="324"/>
      <c r="H912" s="322"/>
    </row>
    <row r="913" spans="2:8" x14ac:dyDescent="0.25">
      <c r="B913" s="325" t="s">
        <v>46</v>
      </c>
      <c r="C913" s="326">
        <v>1</v>
      </c>
      <c r="D913" s="327" t="s">
        <v>684</v>
      </c>
      <c r="E913" s="328"/>
      <c r="F913" s="325" t="s">
        <v>437</v>
      </c>
      <c r="G913" s="329">
        <v>71031.71518324608</v>
      </c>
      <c r="H913" s="327">
        <v>50766</v>
      </c>
    </row>
    <row r="914" spans="2:8" x14ac:dyDescent="0.25">
      <c r="B914" s="325" t="s">
        <v>18</v>
      </c>
      <c r="C914" s="326">
        <v>7</v>
      </c>
      <c r="D914" s="327">
        <v>63417.430366492154</v>
      </c>
      <c r="E914" s="328"/>
      <c r="F914" s="325" t="s">
        <v>438</v>
      </c>
      <c r="G914" s="329">
        <v>14332.5</v>
      </c>
      <c r="H914" s="327">
        <v>12740</v>
      </c>
    </row>
    <row r="915" spans="2:8" x14ac:dyDescent="0.25">
      <c r="B915" s="330" t="s">
        <v>244</v>
      </c>
      <c r="C915" s="326">
        <v>0</v>
      </c>
      <c r="D915" s="327" t="s">
        <v>684</v>
      </c>
      <c r="E915" s="328"/>
      <c r="F915" s="330" t="s">
        <v>439</v>
      </c>
      <c r="G915" s="329">
        <v>9107.7282481486327</v>
      </c>
      <c r="H915" s="327">
        <v>6430.0804485600011</v>
      </c>
    </row>
    <row r="916" spans="2:8" x14ac:dyDescent="0.25">
      <c r="B916" s="331" t="s">
        <v>740</v>
      </c>
      <c r="C916" s="332">
        <v>8</v>
      </c>
      <c r="D916" s="333">
        <v>71031.71518324608</v>
      </c>
      <c r="E916" s="334"/>
      <c r="F916" s="331" t="s">
        <v>435</v>
      </c>
      <c r="G916" s="335">
        <v>94471.943431394713</v>
      </c>
      <c r="H916" s="333">
        <v>69936.080448559995</v>
      </c>
    </row>
    <row r="917" spans="2:8" x14ac:dyDescent="0.25">
      <c r="B917" s="320" t="s">
        <v>382</v>
      </c>
      <c r="C917" s="321"/>
      <c r="D917" s="322"/>
      <c r="E917" s="323"/>
      <c r="F917" s="320" t="s">
        <v>382</v>
      </c>
      <c r="G917" s="324"/>
      <c r="H917" s="322"/>
    </row>
    <row r="918" spans="2:8" x14ac:dyDescent="0.25">
      <c r="B918" s="325" t="s">
        <v>46</v>
      </c>
      <c r="C918" s="326">
        <v>1</v>
      </c>
      <c r="D918" s="327" t="s">
        <v>684</v>
      </c>
      <c r="E918" s="328"/>
      <c r="F918" s="325" t="s">
        <v>437</v>
      </c>
      <c r="G918" s="329">
        <v>98387.728910006466</v>
      </c>
      <c r="H918" s="327">
        <v>77082</v>
      </c>
    </row>
    <row r="919" spans="2:8" x14ac:dyDescent="0.25">
      <c r="B919" s="325" t="s">
        <v>18</v>
      </c>
      <c r="C919" s="326">
        <v>4</v>
      </c>
      <c r="D919" s="327" t="s">
        <v>684</v>
      </c>
      <c r="E919" s="328"/>
      <c r="F919" s="325" t="s">
        <v>438</v>
      </c>
      <c r="G919" s="329">
        <v>12740</v>
      </c>
      <c r="H919" s="327">
        <v>12740</v>
      </c>
    </row>
    <row r="920" spans="2:8" x14ac:dyDescent="0.25">
      <c r="B920" s="330" t="s">
        <v>244</v>
      </c>
      <c r="C920" s="326">
        <v>2</v>
      </c>
      <c r="D920" s="327" t="s">
        <v>684</v>
      </c>
      <c r="E920" s="328"/>
      <c r="F920" s="330" t="s">
        <v>439</v>
      </c>
      <c r="G920" s="329">
        <v>9999.6929466383572</v>
      </c>
      <c r="H920" s="327">
        <v>9763.2955351200017</v>
      </c>
    </row>
    <row r="921" spans="2:8" x14ac:dyDescent="0.25">
      <c r="B921" s="331" t="s">
        <v>740</v>
      </c>
      <c r="C921" s="332">
        <v>7</v>
      </c>
      <c r="D921" s="333">
        <v>98387.728910006466</v>
      </c>
      <c r="E921" s="334"/>
      <c r="F921" s="331" t="s">
        <v>435</v>
      </c>
      <c r="G921" s="335">
        <v>121127.42185664483</v>
      </c>
      <c r="H921" s="333">
        <v>99585.295535120007</v>
      </c>
    </row>
    <row r="922" spans="2:8" x14ac:dyDescent="0.25">
      <c r="B922" s="320" t="s">
        <v>383</v>
      </c>
      <c r="C922" s="321"/>
      <c r="D922" s="322"/>
      <c r="E922" s="323"/>
      <c r="F922" s="320" t="s">
        <v>383</v>
      </c>
      <c r="G922" s="324"/>
      <c r="H922" s="322"/>
    </row>
    <row r="923" spans="2:8" x14ac:dyDescent="0.25">
      <c r="B923" s="325" t="s">
        <v>46</v>
      </c>
      <c r="C923" s="326">
        <v>0</v>
      </c>
      <c r="D923" s="327" t="s">
        <v>684</v>
      </c>
      <c r="E923" s="328"/>
      <c r="F923" s="325" t="s">
        <v>437</v>
      </c>
      <c r="G923" s="329">
        <v>122669.77417943106</v>
      </c>
      <c r="H923" s="327">
        <v>80970</v>
      </c>
    </row>
    <row r="924" spans="2:8" x14ac:dyDescent="0.25">
      <c r="B924" s="325" t="s">
        <v>18</v>
      </c>
      <c r="C924" s="326">
        <v>11</v>
      </c>
      <c r="D924" s="327">
        <v>98039.548358862128</v>
      </c>
      <c r="E924" s="328"/>
      <c r="F924" s="325" t="s">
        <v>438</v>
      </c>
      <c r="G924" s="329">
        <v>12740</v>
      </c>
      <c r="H924" s="327">
        <v>12740</v>
      </c>
    </row>
    <row r="925" spans="2:8" x14ac:dyDescent="0.25">
      <c r="B925" s="330" t="s">
        <v>244</v>
      </c>
      <c r="C925" s="326">
        <v>3</v>
      </c>
      <c r="D925" s="327" t="s">
        <v>684</v>
      </c>
      <c r="E925" s="328"/>
      <c r="F925" s="330" t="s">
        <v>439</v>
      </c>
      <c r="G925" s="329">
        <v>13036.659760181739</v>
      </c>
      <c r="H925" s="327">
        <v>10255.754125200001</v>
      </c>
    </row>
    <row r="926" spans="2:8" x14ac:dyDescent="0.25">
      <c r="B926" s="331" t="s">
        <v>740</v>
      </c>
      <c r="C926" s="332">
        <v>14</v>
      </c>
      <c r="D926" s="333">
        <v>122669.77417943106</v>
      </c>
      <c r="E926" s="334"/>
      <c r="F926" s="331" t="s">
        <v>435</v>
      </c>
      <c r="G926" s="335">
        <v>148446.43393961279</v>
      </c>
      <c r="H926" s="333">
        <v>103965.75412520001</v>
      </c>
    </row>
    <row r="927" spans="2:8" ht="15.75" customHeight="1" x14ac:dyDescent="0.25">
      <c r="B927" s="314" t="s">
        <v>1</v>
      </c>
      <c r="C927" s="315"/>
      <c r="D927" s="316"/>
      <c r="E927" s="313"/>
      <c r="F927" s="314" t="s">
        <v>1</v>
      </c>
      <c r="G927" s="315"/>
      <c r="H927" s="316"/>
    </row>
    <row r="928" spans="2:8" ht="30" x14ac:dyDescent="0.25">
      <c r="B928" s="317" t="s">
        <v>47</v>
      </c>
      <c r="C928" s="318" t="s">
        <v>432</v>
      </c>
      <c r="D928" s="319" t="s">
        <v>436</v>
      </c>
      <c r="E928" s="313"/>
      <c r="F928" s="317" t="s">
        <v>47</v>
      </c>
      <c r="G928" s="318" t="s">
        <v>740</v>
      </c>
      <c r="H928" s="319" t="s">
        <v>48</v>
      </c>
    </row>
    <row r="929" spans="2:8" x14ac:dyDescent="0.25">
      <c r="B929" s="320" t="s">
        <v>384</v>
      </c>
      <c r="C929" s="321"/>
      <c r="D929" s="322"/>
      <c r="E929" s="323"/>
      <c r="F929" s="320" t="s">
        <v>384</v>
      </c>
      <c r="G929" s="324"/>
      <c r="H929" s="322"/>
    </row>
    <row r="930" spans="2:8" x14ac:dyDescent="0.25">
      <c r="B930" s="325" t="s">
        <v>46</v>
      </c>
      <c r="C930" s="326">
        <v>5</v>
      </c>
      <c r="D930" s="327">
        <v>99621.5</v>
      </c>
      <c r="E930" s="328"/>
      <c r="F930" s="325" t="s">
        <v>437</v>
      </c>
      <c r="G930" s="329">
        <v>101397.14523198293</v>
      </c>
      <c r="H930" s="327">
        <v>79002</v>
      </c>
    </row>
    <row r="931" spans="2:8" x14ac:dyDescent="0.25">
      <c r="B931" s="325" t="s">
        <v>18</v>
      </c>
      <c r="C931" s="326">
        <v>8</v>
      </c>
      <c r="D931" s="327">
        <v>86321.935695948778</v>
      </c>
      <c r="E931" s="328"/>
      <c r="F931" s="325" t="s">
        <v>438</v>
      </c>
      <c r="G931" s="329">
        <v>12740</v>
      </c>
      <c r="H931" s="327">
        <v>12740</v>
      </c>
    </row>
    <row r="932" spans="2:8" x14ac:dyDescent="0.25">
      <c r="B932" s="330" t="s">
        <v>244</v>
      </c>
      <c r="C932" s="326">
        <v>1</v>
      </c>
      <c r="D932" s="327" t="s">
        <v>684</v>
      </c>
      <c r="E932" s="328"/>
      <c r="F932" s="330" t="s">
        <v>439</v>
      </c>
      <c r="G932" s="329">
        <v>12049.997452455467</v>
      </c>
      <c r="H932" s="327">
        <v>10006.484962320001</v>
      </c>
    </row>
    <row r="933" spans="2:8" x14ac:dyDescent="0.25">
      <c r="B933" s="331" t="s">
        <v>740</v>
      </c>
      <c r="C933" s="332">
        <v>14</v>
      </c>
      <c r="D933" s="333">
        <v>101397.14523198293</v>
      </c>
      <c r="E933" s="334"/>
      <c r="F933" s="331" t="s">
        <v>435</v>
      </c>
      <c r="G933" s="335">
        <v>126187.1426844384</v>
      </c>
      <c r="H933" s="333">
        <v>101748.48496232</v>
      </c>
    </row>
    <row r="934" spans="2:8" x14ac:dyDescent="0.25">
      <c r="B934" s="320" t="s">
        <v>385</v>
      </c>
      <c r="C934" s="321"/>
      <c r="D934" s="322"/>
      <c r="E934" s="323"/>
      <c r="F934" s="320" t="s">
        <v>385</v>
      </c>
      <c r="G934" s="324"/>
      <c r="H934" s="322"/>
    </row>
    <row r="935" spans="2:8" x14ac:dyDescent="0.25">
      <c r="B935" s="325" t="s">
        <v>46</v>
      </c>
      <c r="C935" s="326">
        <v>1</v>
      </c>
      <c r="D935" s="327" t="s">
        <v>684</v>
      </c>
      <c r="E935" s="328"/>
      <c r="F935" s="325" t="s">
        <v>437</v>
      </c>
      <c r="G935" s="329">
        <v>116410.18446601943</v>
      </c>
      <c r="H935" s="327">
        <v>96228</v>
      </c>
    </row>
    <row r="936" spans="2:8" x14ac:dyDescent="0.25">
      <c r="B936" s="325" t="s">
        <v>18</v>
      </c>
      <c r="C936" s="326">
        <v>1</v>
      </c>
      <c r="D936" s="327" t="s">
        <v>684</v>
      </c>
      <c r="E936" s="328"/>
      <c r="F936" s="325" t="s">
        <v>438</v>
      </c>
      <c r="G936" s="329">
        <v>12740</v>
      </c>
      <c r="H936" s="327">
        <v>12740</v>
      </c>
    </row>
    <row r="937" spans="2:8" x14ac:dyDescent="0.25">
      <c r="B937" s="330" t="s">
        <v>244</v>
      </c>
      <c r="C937" s="326">
        <v>3</v>
      </c>
      <c r="D937" s="327" t="s">
        <v>684</v>
      </c>
      <c r="E937" s="328"/>
      <c r="F937" s="330" t="s">
        <v>439</v>
      </c>
      <c r="G937" s="329">
        <v>9600.7082596600012</v>
      </c>
      <c r="H937" s="327">
        <v>12188.35010448</v>
      </c>
    </row>
    <row r="938" spans="2:8" x14ac:dyDescent="0.25">
      <c r="B938" s="331" t="s">
        <v>740</v>
      </c>
      <c r="C938" s="332">
        <v>5</v>
      </c>
      <c r="D938" s="333">
        <v>116410.18446601943</v>
      </c>
      <c r="E938" s="334"/>
      <c r="F938" s="331" t="s">
        <v>435</v>
      </c>
      <c r="G938" s="335">
        <v>138750.89272567944</v>
      </c>
      <c r="H938" s="333">
        <v>121156.35010447999</v>
      </c>
    </row>
    <row r="939" spans="2:8" x14ac:dyDescent="0.25">
      <c r="B939" s="320" t="s">
        <v>386</v>
      </c>
      <c r="C939" s="321"/>
      <c r="D939" s="322"/>
      <c r="E939" s="323"/>
      <c r="F939" s="320" t="s">
        <v>386</v>
      </c>
      <c r="G939" s="324"/>
      <c r="H939" s="322"/>
    </row>
    <row r="940" spans="2:8" x14ac:dyDescent="0.25">
      <c r="B940" s="325" t="s">
        <v>46</v>
      </c>
      <c r="C940" s="326">
        <v>17</v>
      </c>
      <c r="D940" s="327">
        <v>61806</v>
      </c>
      <c r="E940" s="328"/>
      <c r="F940" s="325" t="s">
        <v>437</v>
      </c>
      <c r="G940" s="329">
        <v>58642.032902951229</v>
      </c>
      <c r="H940" s="327">
        <v>42540</v>
      </c>
    </row>
    <row r="941" spans="2:8" x14ac:dyDescent="0.25">
      <c r="B941" s="325" t="s">
        <v>18</v>
      </c>
      <c r="C941" s="326">
        <v>0</v>
      </c>
      <c r="D941" s="327" t="s">
        <v>684</v>
      </c>
      <c r="E941" s="328"/>
      <c r="F941" s="325" t="s">
        <v>438</v>
      </c>
      <c r="G941" s="329">
        <v>12740</v>
      </c>
      <c r="H941" s="327">
        <v>12740</v>
      </c>
    </row>
    <row r="942" spans="2:8" x14ac:dyDescent="0.25">
      <c r="B942" s="330" t="s">
        <v>244</v>
      </c>
      <c r="C942" s="326">
        <v>4</v>
      </c>
      <c r="D942" s="327" t="s">
        <v>684</v>
      </c>
      <c r="E942" s="328"/>
      <c r="F942" s="330" t="s">
        <v>439</v>
      </c>
      <c r="G942" s="329">
        <v>7803.148305618638</v>
      </c>
      <c r="H942" s="327">
        <v>5388.1657464000009</v>
      </c>
    </row>
    <row r="943" spans="2:8" x14ac:dyDescent="0.25">
      <c r="B943" s="331" t="s">
        <v>740</v>
      </c>
      <c r="C943" s="332">
        <v>21</v>
      </c>
      <c r="D943" s="333">
        <v>58642.032902951229</v>
      </c>
      <c r="E943" s="334"/>
      <c r="F943" s="331" t="s">
        <v>435</v>
      </c>
      <c r="G943" s="335">
        <v>79185.181208569877</v>
      </c>
      <c r="H943" s="333">
        <v>60668.165746400002</v>
      </c>
    </row>
    <row r="944" spans="2:8" x14ac:dyDescent="0.25">
      <c r="B944" s="320" t="s">
        <v>745</v>
      </c>
      <c r="C944" s="321"/>
      <c r="D944" s="322"/>
      <c r="E944" s="323"/>
      <c r="F944" s="320" t="s">
        <v>745</v>
      </c>
      <c r="G944" s="324"/>
      <c r="H944" s="322"/>
    </row>
    <row r="945" spans="2:8" x14ac:dyDescent="0.25">
      <c r="B945" s="325" t="s">
        <v>46</v>
      </c>
      <c r="C945" s="326">
        <v>8</v>
      </c>
      <c r="D945" s="327">
        <v>109308.63499999999</v>
      </c>
      <c r="E945" s="328"/>
      <c r="F945" s="325" t="s">
        <v>437</v>
      </c>
      <c r="G945" s="329">
        <v>105627.0675</v>
      </c>
      <c r="H945" s="327">
        <v>66432</v>
      </c>
    </row>
    <row r="946" spans="2:8" x14ac:dyDescent="0.25">
      <c r="B946" s="325" t="s">
        <v>18</v>
      </c>
      <c r="C946" s="326">
        <v>0</v>
      </c>
      <c r="D946" s="327" t="s">
        <v>684</v>
      </c>
      <c r="E946" s="328"/>
      <c r="F946" s="325" t="s">
        <v>438</v>
      </c>
      <c r="G946" s="329">
        <v>12740</v>
      </c>
      <c r="H946" s="327">
        <v>12740</v>
      </c>
    </row>
    <row r="947" spans="2:8" x14ac:dyDescent="0.25">
      <c r="B947" s="330" t="s">
        <v>244</v>
      </c>
      <c r="C947" s="326">
        <v>2</v>
      </c>
      <c r="D947" s="327" t="s">
        <v>684</v>
      </c>
      <c r="E947" s="328"/>
      <c r="F947" s="330" t="s">
        <v>439</v>
      </c>
      <c r="G947" s="329">
        <v>13845.158507116601</v>
      </c>
      <c r="H947" s="327">
        <v>8414.3541811200012</v>
      </c>
    </row>
    <row r="948" spans="2:8" x14ac:dyDescent="0.25">
      <c r="B948" s="331" t="s">
        <v>740</v>
      </c>
      <c r="C948" s="332">
        <v>10</v>
      </c>
      <c r="D948" s="333">
        <v>105627.0675</v>
      </c>
      <c r="E948" s="334"/>
      <c r="F948" s="331" t="s">
        <v>435</v>
      </c>
      <c r="G948" s="335">
        <v>132212.22600711661</v>
      </c>
      <c r="H948" s="333">
        <v>87586.354181119998</v>
      </c>
    </row>
    <row r="949" spans="2:8" x14ac:dyDescent="0.25">
      <c r="B949" s="320" t="s">
        <v>387</v>
      </c>
      <c r="C949" s="321"/>
      <c r="D949" s="322"/>
      <c r="E949" s="323"/>
      <c r="F949" s="320" t="s">
        <v>387</v>
      </c>
      <c r="G949" s="324"/>
      <c r="H949" s="322"/>
    </row>
    <row r="950" spans="2:8" x14ac:dyDescent="0.25">
      <c r="B950" s="325" t="s">
        <v>46</v>
      </c>
      <c r="C950" s="326">
        <v>2</v>
      </c>
      <c r="D950" s="327" t="s">
        <v>684</v>
      </c>
      <c r="E950" s="328"/>
      <c r="F950" s="325" t="s">
        <v>437</v>
      </c>
      <c r="G950" s="329">
        <v>71142.824680769423</v>
      </c>
      <c r="H950" s="327">
        <v>62742</v>
      </c>
    </row>
    <row r="951" spans="2:8" x14ac:dyDescent="0.25">
      <c r="B951" s="325" t="s">
        <v>18</v>
      </c>
      <c r="C951" s="326">
        <v>12</v>
      </c>
      <c r="D951" s="327">
        <v>67507.042972256226</v>
      </c>
      <c r="E951" s="328"/>
      <c r="F951" s="325" t="s">
        <v>438</v>
      </c>
      <c r="G951" s="329">
        <v>12740</v>
      </c>
      <c r="H951" s="327">
        <v>12740</v>
      </c>
    </row>
    <row r="952" spans="2:8" x14ac:dyDescent="0.25">
      <c r="B952" s="330" t="s">
        <v>244</v>
      </c>
      <c r="C952" s="326">
        <v>4</v>
      </c>
      <c r="D952" s="327" t="s">
        <v>684</v>
      </c>
      <c r="E952" s="328"/>
      <c r="F952" s="330" t="s">
        <v>439</v>
      </c>
      <c r="G952" s="329">
        <v>7846.4387243151086</v>
      </c>
      <c r="H952" s="327">
        <v>7946.9745007199999</v>
      </c>
    </row>
    <row r="953" spans="2:8" x14ac:dyDescent="0.25">
      <c r="B953" s="331" t="s">
        <v>740</v>
      </c>
      <c r="C953" s="332">
        <v>18</v>
      </c>
      <c r="D953" s="333">
        <v>71142.824680769423</v>
      </c>
      <c r="E953" s="334"/>
      <c r="F953" s="331" t="s">
        <v>435</v>
      </c>
      <c r="G953" s="335">
        <v>91729.263405084537</v>
      </c>
      <c r="H953" s="333">
        <v>83428.974500719996</v>
      </c>
    </row>
    <row r="954" spans="2:8" x14ac:dyDescent="0.25">
      <c r="B954" s="320" t="s">
        <v>429</v>
      </c>
      <c r="C954" s="321"/>
      <c r="D954" s="322"/>
      <c r="E954" s="323"/>
      <c r="F954" s="320" t="s">
        <v>429</v>
      </c>
      <c r="G954" s="324"/>
      <c r="H954" s="322"/>
    </row>
    <row r="955" spans="2:8" x14ac:dyDescent="0.25">
      <c r="B955" s="325" t="s">
        <v>46</v>
      </c>
      <c r="C955" s="326">
        <v>13</v>
      </c>
      <c r="D955" s="327">
        <v>75810</v>
      </c>
      <c r="E955" s="328"/>
      <c r="F955" s="325" t="s">
        <v>437</v>
      </c>
      <c r="G955" s="329">
        <v>71255</v>
      </c>
      <c r="H955" s="327">
        <v>67716</v>
      </c>
    </row>
    <row r="956" spans="2:8" x14ac:dyDescent="0.25">
      <c r="B956" s="325" t="s">
        <v>18</v>
      </c>
      <c r="C956" s="326">
        <v>0</v>
      </c>
      <c r="D956" s="327" t="s">
        <v>684</v>
      </c>
      <c r="E956" s="328"/>
      <c r="F956" s="325" t="s">
        <v>438</v>
      </c>
      <c r="G956" s="329">
        <v>12740</v>
      </c>
      <c r="H956" s="327">
        <v>12740</v>
      </c>
    </row>
    <row r="957" spans="2:8" x14ac:dyDescent="0.25">
      <c r="B957" s="330" t="s">
        <v>244</v>
      </c>
      <c r="C957" s="326">
        <v>3</v>
      </c>
      <c r="D957" s="327" t="s">
        <v>684</v>
      </c>
      <c r="E957" s="328"/>
      <c r="F957" s="330" t="s">
        <v>439</v>
      </c>
      <c r="G957" s="329">
        <v>8680.1758937409159</v>
      </c>
      <c r="H957" s="327">
        <v>8576.9871105599996</v>
      </c>
    </row>
    <row r="958" spans="2:8" x14ac:dyDescent="0.25">
      <c r="B958" s="331" t="s">
        <v>740</v>
      </c>
      <c r="C958" s="332">
        <v>16</v>
      </c>
      <c r="D958" s="333">
        <v>71255</v>
      </c>
      <c r="E958" s="334"/>
      <c r="F958" s="331" t="s">
        <v>435</v>
      </c>
      <c r="G958" s="335">
        <v>92675.175893740918</v>
      </c>
      <c r="H958" s="333">
        <v>89032.987110560003</v>
      </c>
    </row>
    <row r="959" spans="2:8" ht="15.75" customHeight="1" x14ac:dyDescent="0.25">
      <c r="B959" s="314" t="s">
        <v>586</v>
      </c>
      <c r="C959" s="315"/>
      <c r="D959" s="316"/>
      <c r="E959" s="313"/>
      <c r="F959" s="314" t="s">
        <v>586</v>
      </c>
      <c r="G959" s="315"/>
      <c r="H959" s="316"/>
    </row>
    <row r="960" spans="2:8" ht="30" x14ac:dyDescent="0.25">
      <c r="B960" s="317" t="s">
        <v>47</v>
      </c>
      <c r="C960" s="318" t="s">
        <v>432</v>
      </c>
      <c r="D960" s="319" t="s">
        <v>436</v>
      </c>
      <c r="E960" s="313"/>
      <c r="F960" s="317" t="s">
        <v>47</v>
      </c>
      <c r="G960" s="318" t="s">
        <v>740</v>
      </c>
      <c r="H960" s="319" t="s">
        <v>48</v>
      </c>
    </row>
    <row r="961" spans="2:8" x14ac:dyDescent="0.25">
      <c r="B961" s="320" t="s">
        <v>746</v>
      </c>
      <c r="C961" s="321"/>
      <c r="D961" s="322"/>
      <c r="E961" s="323"/>
      <c r="F961" s="320" t="s">
        <v>746</v>
      </c>
      <c r="G961" s="324"/>
      <c r="H961" s="322"/>
    </row>
    <row r="962" spans="2:8" x14ac:dyDescent="0.25">
      <c r="B962" s="325" t="s">
        <v>46</v>
      </c>
      <c r="C962" s="326">
        <v>18</v>
      </c>
      <c r="D962" s="327">
        <v>96837.945000000007</v>
      </c>
      <c r="E962" s="328"/>
      <c r="F962" s="325" t="s">
        <v>437</v>
      </c>
      <c r="G962" s="329">
        <v>97018.972500000003</v>
      </c>
      <c r="H962" s="327">
        <v>92970</v>
      </c>
    </row>
    <row r="963" spans="2:8" x14ac:dyDescent="0.25">
      <c r="B963" s="325" t="s">
        <v>18</v>
      </c>
      <c r="C963" s="326">
        <v>0</v>
      </c>
      <c r="D963" s="327" t="s">
        <v>684</v>
      </c>
      <c r="E963" s="328"/>
      <c r="F963" s="325" t="s">
        <v>438</v>
      </c>
      <c r="G963" s="329">
        <v>12740</v>
      </c>
      <c r="H963" s="327">
        <v>12740</v>
      </c>
    </row>
    <row r="964" spans="2:8" x14ac:dyDescent="0.25">
      <c r="B964" s="330" t="s">
        <v>244</v>
      </c>
      <c r="C964" s="326">
        <v>5</v>
      </c>
      <c r="D964" s="327">
        <v>97200</v>
      </c>
      <c r="E964" s="328"/>
      <c r="F964" s="330" t="s">
        <v>439</v>
      </c>
      <c r="G964" s="329">
        <v>11728.860147736401</v>
      </c>
      <c r="H964" s="327">
        <v>11775.6880452</v>
      </c>
    </row>
    <row r="965" spans="2:8" x14ac:dyDescent="0.25">
      <c r="B965" s="331" t="s">
        <v>740</v>
      </c>
      <c r="C965" s="332">
        <v>23</v>
      </c>
      <c r="D965" s="333">
        <v>97018.972500000003</v>
      </c>
      <c r="E965" s="334"/>
      <c r="F965" s="331" t="s">
        <v>435</v>
      </c>
      <c r="G965" s="335">
        <v>121487.8326477364</v>
      </c>
      <c r="H965" s="333">
        <v>117485.6880452</v>
      </c>
    </row>
    <row r="966" spans="2:8" x14ac:dyDescent="0.25">
      <c r="B966" s="320" t="s">
        <v>747</v>
      </c>
      <c r="C966" s="321"/>
      <c r="D966" s="322"/>
      <c r="E966" s="323"/>
      <c r="F966" s="320" t="s">
        <v>747</v>
      </c>
      <c r="G966" s="324"/>
      <c r="H966" s="322"/>
    </row>
    <row r="967" spans="2:8" x14ac:dyDescent="0.25">
      <c r="B967" s="325" t="s">
        <v>46</v>
      </c>
      <c r="C967" s="326">
        <v>13</v>
      </c>
      <c r="D967" s="327">
        <v>118185.60000000001</v>
      </c>
      <c r="E967" s="328"/>
      <c r="F967" s="325" t="s">
        <v>437</v>
      </c>
      <c r="G967" s="329">
        <v>118073.55</v>
      </c>
      <c r="H967" s="327">
        <v>86478</v>
      </c>
    </row>
    <row r="968" spans="2:8" x14ac:dyDescent="0.25">
      <c r="B968" s="325" t="s">
        <v>18</v>
      </c>
      <c r="C968" s="326">
        <v>0</v>
      </c>
      <c r="D968" s="327" t="s">
        <v>684</v>
      </c>
      <c r="E968" s="328"/>
      <c r="F968" s="325" t="s">
        <v>438</v>
      </c>
      <c r="G968" s="329">
        <v>12740</v>
      </c>
      <c r="H968" s="327">
        <v>12740</v>
      </c>
    </row>
    <row r="969" spans="2:8" x14ac:dyDescent="0.25">
      <c r="B969" s="330" t="s">
        <v>244</v>
      </c>
      <c r="C969" s="326">
        <v>4</v>
      </c>
      <c r="D969" s="327" t="s">
        <v>684</v>
      </c>
      <c r="E969" s="328"/>
      <c r="F969" s="330" t="s">
        <v>439</v>
      </c>
      <c r="G969" s="329">
        <v>12962.106031663399</v>
      </c>
      <c r="H969" s="327">
        <v>10953.40379448</v>
      </c>
    </row>
    <row r="970" spans="2:8" x14ac:dyDescent="0.25">
      <c r="B970" s="331" t="s">
        <v>740</v>
      </c>
      <c r="C970" s="332">
        <v>17</v>
      </c>
      <c r="D970" s="333">
        <v>118073.55</v>
      </c>
      <c r="E970" s="334"/>
      <c r="F970" s="331" t="s">
        <v>435</v>
      </c>
      <c r="G970" s="335">
        <v>143775.65603166341</v>
      </c>
      <c r="H970" s="333">
        <v>110171.40379447999</v>
      </c>
    </row>
    <row r="971" spans="2:8" x14ac:dyDescent="0.25">
      <c r="B971" s="320" t="s">
        <v>748</v>
      </c>
      <c r="C971" s="321"/>
      <c r="D971" s="322"/>
      <c r="E971" s="323"/>
      <c r="F971" s="320" t="s">
        <v>748</v>
      </c>
      <c r="G971" s="324"/>
      <c r="H971" s="322"/>
    </row>
    <row r="972" spans="2:8" x14ac:dyDescent="0.25">
      <c r="B972" s="325" t="s">
        <v>46</v>
      </c>
      <c r="C972" s="326">
        <v>19</v>
      </c>
      <c r="D972" s="327">
        <v>92851.199999999997</v>
      </c>
      <c r="E972" s="328"/>
      <c r="F972" s="325" t="s">
        <v>437</v>
      </c>
      <c r="G972" s="329">
        <v>90199.1</v>
      </c>
      <c r="H972" s="327">
        <v>92970</v>
      </c>
    </row>
    <row r="973" spans="2:8" x14ac:dyDescent="0.25">
      <c r="B973" s="325" t="s">
        <v>18</v>
      </c>
      <c r="C973" s="326">
        <v>0</v>
      </c>
      <c r="D973" s="327" t="s">
        <v>684</v>
      </c>
      <c r="E973" s="328"/>
      <c r="F973" s="325" t="s">
        <v>438</v>
      </c>
      <c r="G973" s="329">
        <v>12740</v>
      </c>
      <c r="H973" s="327">
        <v>12740</v>
      </c>
    </row>
    <row r="974" spans="2:8" x14ac:dyDescent="0.25">
      <c r="B974" s="330" t="s">
        <v>244</v>
      </c>
      <c r="C974" s="326">
        <v>4</v>
      </c>
      <c r="D974" s="327" t="s">
        <v>684</v>
      </c>
      <c r="E974" s="328"/>
      <c r="F974" s="330" t="s">
        <v>439</v>
      </c>
      <c r="G974" s="329">
        <v>11298.286300514999</v>
      </c>
      <c r="H974" s="327">
        <v>11775.6880452</v>
      </c>
    </row>
    <row r="975" spans="2:8" x14ac:dyDescent="0.25">
      <c r="B975" s="331" t="s">
        <v>740</v>
      </c>
      <c r="C975" s="332">
        <v>23</v>
      </c>
      <c r="D975" s="333">
        <v>90199.1</v>
      </c>
      <c r="E975" s="334"/>
      <c r="F975" s="331" t="s">
        <v>435</v>
      </c>
      <c r="G975" s="335">
        <v>114237.38630051501</v>
      </c>
      <c r="H975" s="333">
        <v>117485.6880452</v>
      </c>
    </row>
    <row r="976" spans="2:8" x14ac:dyDescent="0.25">
      <c r="B976" s="320" t="s">
        <v>749</v>
      </c>
      <c r="C976" s="321"/>
      <c r="D976" s="322"/>
      <c r="E976" s="323"/>
      <c r="F976" s="320" t="s">
        <v>749</v>
      </c>
      <c r="G976" s="324"/>
      <c r="H976" s="322"/>
    </row>
    <row r="977" spans="2:8" x14ac:dyDescent="0.25">
      <c r="B977" s="325" t="s">
        <v>46</v>
      </c>
      <c r="C977" s="326">
        <v>19</v>
      </c>
      <c r="D977" s="327">
        <v>79584.5</v>
      </c>
      <c r="E977" s="328"/>
      <c r="F977" s="325" t="s">
        <v>437</v>
      </c>
      <c r="G977" s="329">
        <v>77792.25</v>
      </c>
      <c r="H977" s="327">
        <v>80484</v>
      </c>
    </row>
    <row r="978" spans="2:8" x14ac:dyDescent="0.25">
      <c r="B978" s="325" t="s">
        <v>18</v>
      </c>
      <c r="C978" s="326">
        <v>0</v>
      </c>
      <c r="D978" s="327" t="s">
        <v>684</v>
      </c>
      <c r="E978" s="328"/>
      <c r="F978" s="325" t="s">
        <v>438</v>
      </c>
      <c r="G978" s="329">
        <v>12740</v>
      </c>
      <c r="H978" s="327">
        <v>12740</v>
      </c>
    </row>
    <row r="979" spans="2:8" x14ac:dyDescent="0.25">
      <c r="B979" s="330" t="s">
        <v>244</v>
      </c>
      <c r="C979" s="326">
        <v>5</v>
      </c>
      <c r="D979" s="327">
        <v>76000</v>
      </c>
      <c r="E979" s="328"/>
      <c r="F979" s="330" t="s">
        <v>439</v>
      </c>
      <c r="G979" s="329">
        <v>10055.91448001</v>
      </c>
      <c r="H979" s="327">
        <v>10194.196801440001</v>
      </c>
    </row>
    <row r="980" spans="2:8" x14ac:dyDescent="0.25">
      <c r="B980" s="331" t="s">
        <v>740</v>
      </c>
      <c r="C980" s="332">
        <v>24</v>
      </c>
      <c r="D980" s="333">
        <v>77792.25</v>
      </c>
      <c r="E980" s="334"/>
      <c r="F980" s="331" t="s">
        <v>435</v>
      </c>
      <c r="G980" s="335">
        <v>100588.16448001</v>
      </c>
      <c r="H980" s="333">
        <v>103418.19680144</v>
      </c>
    </row>
    <row r="981" spans="2:8" x14ac:dyDescent="0.25">
      <c r="B981" s="320" t="s">
        <v>593</v>
      </c>
      <c r="C981" s="321"/>
      <c r="D981" s="322"/>
      <c r="E981" s="323"/>
      <c r="F981" s="320" t="s">
        <v>593</v>
      </c>
      <c r="G981" s="324"/>
      <c r="H981" s="322"/>
    </row>
    <row r="982" spans="2:8" x14ac:dyDescent="0.25">
      <c r="B982" s="325" t="s">
        <v>46</v>
      </c>
      <c r="C982" s="326">
        <v>13</v>
      </c>
      <c r="D982" s="327">
        <v>100365.93806208423</v>
      </c>
      <c r="E982" s="328"/>
      <c r="F982" s="325" t="s">
        <v>437</v>
      </c>
      <c r="G982" s="329">
        <v>100132.96903104211</v>
      </c>
      <c r="H982" s="327">
        <v>97626</v>
      </c>
    </row>
    <row r="983" spans="2:8" x14ac:dyDescent="0.25">
      <c r="B983" s="325" t="s">
        <v>18</v>
      </c>
      <c r="C983" s="326">
        <v>0</v>
      </c>
      <c r="D983" s="327" t="s">
        <v>684</v>
      </c>
      <c r="E983" s="328"/>
      <c r="F983" s="325" t="s">
        <v>438</v>
      </c>
      <c r="G983" s="329">
        <v>12740</v>
      </c>
      <c r="H983" s="327">
        <v>12740</v>
      </c>
    </row>
    <row r="984" spans="2:8" x14ac:dyDescent="0.25">
      <c r="B984" s="330" t="s">
        <v>244</v>
      </c>
      <c r="C984" s="326">
        <v>5</v>
      </c>
      <c r="D984" s="327">
        <v>99900</v>
      </c>
      <c r="E984" s="328"/>
      <c r="F984" s="330" t="s">
        <v>439</v>
      </c>
      <c r="G984" s="329">
        <v>10331.357769402784</v>
      </c>
      <c r="H984" s="327">
        <v>12365.42240616</v>
      </c>
    </row>
    <row r="985" spans="2:8" x14ac:dyDescent="0.25">
      <c r="B985" s="331" t="s">
        <v>740</v>
      </c>
      <c r="C985" s="332">
        <v>18</v>
      </c>
      <c r="D985" s="333">
        <v>100132.96903104211</v>
      </c>
      <c r="E985" s="334"/>
      <c r="F985" s="331" t="s">
        <v>435</v>
      </c>
      <c r="G985" s="335">
        <v>123204.32680044489</v>
      </c>
      <c r="H985" s="333">
        <v>122731.42240616</v>
      </c>
    </row>
    <row r="986" spans="2:8" x14ac:dyDescent="0.25">
      <c r="B986" s="320" t="s">
        <v>750</v>
      </c>
      <c r="C986" s="321"/>
      <c r="D986" s="322"/>
      <c r="E986" s="323"/>
      <c r="F986" s="320" t="s">
        <v>750</v>
      </c>
      <c r="G986" s="324"/>
      <c r="H986" s="322"/>
    </row>
    <row r="987" spans="2:8" x14ac:dyDescent="0.25">
      <c r="B987" s="325" t="s">
        <v>46</v>
      </c>
      <c r="C987" s="326">
        <v>18</v>
      </c>
      <c r="D987" s="327">
        <v>94786.145000000004</v>
      </c>
      <c r="E987" s="328"/>
      <c r="F987" s="325" t="s">
        <v>437</v>
      </c>
      <c r="G987" s="329">
        <v>93843.072500000009</v>
      </c>
      <c r="H987" s="327">
        <v>92970</v>
      </c>
    </row>
    <row r="988" spans="2:8" x14ac:dyDescent="0.25">
      <c r="B988" s="325" t="s">
        <v>18</v>
      </c>
      <c r="C988" s="326">
        <v>0</v>
      </c>
      <c r="D988" s="327" t="s">
        <v>684</v>
      </c>
      <c r="E988" s="328"/>
      <c r="F988" s="325" t="s">
        <v>438</v>
      </c>
      <c r="G988" s="329">
        <v>12740</v>
      </c>
      <c r="H988" s="327">
        <v>12740</v>
      </c>
    </row>
    <row r="989" spans="2:8" x14ac:dyDescent="0.25">
      <c r="B989" s="330" t="s">
        <v>244</v>
      </c>
      <c r="C989" s="326">
        <v>5</v>
      </c>
      <c r="D989" s="327">
        <v>92900</v>
      </c>
      <c r="E989" s="328"/>
      <c r="F989" s="330" t="s">
        <v>439</v>
      </c>
      <c r="G989" s="329">
        <v>11697.252706775194</v>
      </c>
      <c r="H989" s="327">
        <v>11775.6880452</v>
      </c>
    </row>
    <row r="990" spans="2:8" x14ac:dyDescent="0.25">
      <c r="B990" s="331" t="s">
        <v>740</v>
      </c>
      <c r="C990" s="332">
        <v>23</v>
      </c>
      <c r="D990" s="333">
        <v>93843.072500000009</v>
      </c>
      <c r="E990" s="334"/>
      <c r="F990" s="331" t="s">
        <v>435</v>
      </c>
      <c r="G990" s="335">
        <v>118280.3252067752</v>
      </c>
      <c r="H990" s="333">
        <v>117485.6880452</v>
      </c>
    </row>
    <row r="991" spans="2:8" x14ac:dyDescent="0.25">
      <c r="B991" s="320" t="s">
        <v>751</v>
      </c>
      <c r="C991" s="321"/>
      <c r="D991" s="322"/>
      <c r="E991" s="323"/>
      <c r="F991" s="320" t="s">
        <v>751</v>
      </c>
      <c r="G991" s="324"/>
      <c r="H991" s="322"/>
    </row>
    <row r="992" spans="2:8" x14ac:dyDescent="0.25">
      <c r="B992" s="325" t="s">
        <v>46</v>
      </c>
      <c r="C992" s="326">
        <v>7</v>
      </c>
      <c r="D992" s="327">
        <v>116496</v>
      </c>
      <c r="E992" s="328"/>
      <c r="F992" s="325" t="s">
        <v>437</v>
      </c>
      <c r="G992" s="329">
        <v>108266.5</v>
      </c>
      <c r="H992" s="327">
        <v>80484</v>
      </c>
    </row>
    <row r="993" spans="2:8" x14ac:dyDescent="0.25">
      <c r="B993" s="325" t="s">
        <v>18</v>
      </c>
      <c r="C993" s="326">
        <v>0</v>
      </c>
      <c r="D993" s="327" t="s">
        <v>684</v>
      </c>
      <c r="E993" s="328"/>
      <c r="F993" s="325" t="s">
        <v>438</v>
      </c>
      <c r="G993" s="329">
        <v>12740</v>
      </c>
      <c r="H993" s="327">
        <v>12740</v>
      </c>
    </row>
    <row r="994" spans="2:8" x14ac:dyDescent="0.25">
      <c r="B994" s="330" t="s">
        <v>244</v>
      </c>
      <c r="C994" s="326">
        <v>2</v>
      </c>
      <c r="D994" s="327" t="s">
        <v>684</v>
      </c>
      <c r="E994" s="328"/>
      <c r="F994" s="330" t="s">
        <v>439</v>
      </c>
      <c r="G994" s="329">
        <v>14573.658654025172</v>
      </c>
      <c r="H994" s="327">
        <v>10194.196801440001</v>
      </c>
    </row>
    <row r="995" spans="2:8" x14ac:dyDescent="0.25">
      <c r="B995" s="331" t="s">
        <v>740</v>
      </c>
      <c r="C995" s="332">
        <v>9</v>
      </c>
      <c r="D995" s="333">
        <v>108266.5</v>
      </c>
      <c r="E995" s="334"/>
      <c r="F995" s="331" t="s">
        <v>435</v>
      </c>
      <c r="G995" s="335">
        <v>135580.15865402517</v>
      </c>
      <c r="H995" s="333">
        <v>103418.19680144</v>
      </c>
    </row>
    <row r="996" spans="2:8" x14ac:dyDescent="0.25">
      <c r="B996" s="320" t="s">
        <v>752</v>
      </c>
      <c r="C996" s="321"/>
      <c r="D996" s="322"/>
      <c r="E996" s="323"/>
      <c r="F996" s="320" t="s">
        <v>752</v>
      </c>
      <c r="G996" s="324"/>
      <c r="H996" s="322"/>
    </row>
    <row r="997" spans="2:8" x14ac:dyDescent="0.25">
      <c r="B997" s="325" t="s">
        <v>46</v>
      </c>
      <c r="C997" s="326">
        <v>13</v>
      </c>
      <c r="D997" s="327">
        <v>109728</v>
      </c>
      <c r="E997" s="328"/>
      <c r="F997" s="325" t="s">
        <v>437</v>
      </c>
      <c r="G997" s="329">
        <v>109988.5</v>
      </c>
      <c r="H997" s="327">
        <v>97626</v>
      </c>
    </row>
    <row r="998" spans="2:8" x14ac:dyDescent="0.25">
      <c r="B998" s="325" t="s">
        <v>18</v>
      </c>
      <c r="C998" s="326">
        <v>0</v>
      </c>
      <c r="D998" s="327" t="s">
        <v>684</v>
      </c>
      <c r="E998" s="328"/>
      <c r="F998" s="325" t="s">
        <v>438</v>
      </c>
      <c r="G998" s="329">
        <v>13536.25</v>
      </c>
      <c r="H998" s="327">
        <v>12740</v>
      </c>
    </row>
    <row r="999" spans="2:8" x14ac:dyDescent="0.25">
      <c r="B999" s="330" t="s">
        <v>244</v>
      </c>
      <c r="C999" s="326">
        <v>4</v>
      </c>
      <c r="D999" s="327" t="s">
        <v>684</v>
      </c>
      <c r="E999" s="328"/>
      <c r="F999" s="330" t="s">
        <v>439</v>
      </c>
      <c r="G999" s="329">
        <v>12631.743989687406</v>
      </c>
      <c r="H999" s="327">
        <v>12365.42240616</v>
      </c>
    </row>
    <row r="1000" spans="2:8" x14ac:dyDescent="0.25">
      <c r="B1000" s="331" t="s">
        <v>740</v>
      </c>
      <c r="C1000" s="332">
        <v>17</v>
      </c>
      <c r="D1000" s="333">
        <v>109988.5</v>
      </c>
      <c r="E1000" s="334"/>
      <c r="F1000" s="331" t="s">
        <v>435</v>
      </c>
      <c r="G1000" s="335">
        <v>136156.49398968741</v>
      </c>
      <c r="H1000" s="333">
        <v>122731.42240616</v>
      </c>
    </row>
    <row r="1001" spans="2:8" x14ac:dyDescent="0.25">
      <c r="B1001" s="320" t="s">
        <v>753</v>
      </c>
      <c r="C1001" s="321"/>
      <c r="D1001" s="322"/>
      <c r="E1001" s="323"/>
      <c r="F1001" s="320" t="s">
        <v>753</v>
      </c>
      <c r="G1001" s="324"/>
      <c r="H1001" s="322"/>
    </row>
    <row r="1002" spans="2:8" x14ac:dyDescent="0.25">
      <c r="B1002" s="325" t="s">
        <v>46</v>
      </c>
      <c r="C1002" s="326">
        <v>5</v>
      </c>
      <c r="D1002" s="327">
        <v>101838</v>
      </c>
      <c r="E1002" s="328"/>
      <c r="F1002" s="325" t="s">
        <v>437</v>
      </c>
      <c r="G1002" s="329">
        <v>94069</v>
      </c>
      <c r="H1002" s="327">
        <v>92970</v>
      </c>
    </row>
    <row r="1003" spans="2:8" x14ac:dyDescent="0.25">
      <c r="B1003" s="325" t="s">
        <v>18</v>
      </c>
      <c r="C1003" s="326">
        <v>0</v>
      </c>
      <c r="D1003" s="327" t="s">
        <v>684</v>
      </c>
      <c r="E1003" s="328"/>
      <c r="F1003" s="325" t="s">
        <v>438</v>
      </c>
      <c r="G1003" s="329">
        <v>12740</v>
      </c>
      <c r="H1003" s="327">
        <v>12740</v>
      </c>
    </row>
    <row r="1004" spans="2:8" x14ac:dyDescent="0.25">
      <c r="B1004" s="330" t="s">
        <v>244</v>
      </c>
      <c r="C1004" s="326">
        <v>4</v>
      </c>
      <c r="D1004" s="327" t="s">
        <v>684</v>
      </c>
      <c r="E1004" s="328"/>
      <c r="F1004" s="330" t="s">
        <v>439</v>
      </c>
      <c r="G1004" s="329">
        <v>11198.023703796218</v>
      </c>
      <c r="H1004" s="327">
        <v>11775.6880452</v>
      </c>
    </row>
    <row r="1005" spans="2:8" x14ac:dyDescent="0.25">
      <c r="B1005" s="331" t="s">
        <v>740</v>
      </c>
      <c r="C1005" s="332">
        <v>9</v>
      </c>
      <c r="D1005" s="333">
        <v>94069</v>
      </c>
      <c r="E1005" s="334"/>
      <c r="F1005" s="331" t="s">
        <v>435</v>
      </c>
      <c r="G1005" s="335">
        <v>118007.02370379622</v>
      </c>
      <c r="H1005" s="333">
        <v>117485.6880452</v>
      </c>
    </row>
    <row r="1006" spans="2:8" x14ac:dyDescent="0.25">
      <c r="B1006" s="320" t="s">
        <v>754</v>
      </c>
      <c r="C1006" s="321"/>
      <c r="D1006" s="322"/>
      <c r="E1006" s="323"/>
      <c r="F1006" s="320" t="s">
        <v>754</v>
      </c>
      <c r="G1006" s="324"/>
      <c r="H1006" s="322"/>
    </row>
    <row r="1007" spans="2:8" x14ac:dyDescent="0.25">
      <c r="B1007" s="325" t="s">
        <v>46</v>
      </c>
      <c r="C1007" s="326">
        <v>11</v>
      </c>
      <c r="D1007" s="327">
        <v>106974</v>
      </c>
      <c r="E1007" s="328"/>
      <c r="F1007" s="325" t="s">
        <v>437</v>
      </c>
      <c r="G1007" s="329">
        <v>105152</v>
      </c>
      <c r="H1007" s="327">
        <v>92970</v>
      </c>
    </row>
    <row r="1008" spans="2:8" x14ac:dyDescent="0.25">
      <c r="B1008" s="325" t="s">
        <v>18</v>
      </c>
      <c r="C1008" s="326">
        <v>0</v>
      </c>
      <c r="D1008" s="327" t="s">
        <v>684</v>
      </c>
      <c r="E1008" s="328"/>
      <c r="F1008" s="325" t="s">
        <v>438</v>
      </c>
      <c r="G1008" s="329">
        <v>12740</v>
      </c>
      <c r="H1008" s="327">
        <v>12740</v>
      </c>
    </row>
    <row r="1009" spans="2:8" x14ac:dyDescent="0.25">
      <c r="B1009" s="330" t="s">
        <v>244</v>
      </c>
      <c r="C1009" s="326">
        <v>5</v>
      </c>
      <c r="D1009" s="327">
        <v>103330</v>
      </c>
      <c r="E1009" s="328"/>
      <c r="F1009" s="330" t="s">
        <v>439</v>
      </c>
      <c r="G1009" s="329">
        <v>11617.304877589551</v>
      </c>
      <c r="H1009" s="327">
        <v>11775.6880452</v>
      </c>
    </row>
    <row r="1010" spans="2:8" x14ac:dyDescent="0.25">
      <c r="B1010" s="331" t="s">
        <v>740</v>
      </c>
      <c r="C1010" s="332">
        <v>16</v>
      </c>
      <c r="D1010" s="333">
        <v>105152</v>
      </c>
      <c r="E1010" s="334"/>
      <c r="F1010" s="331" t="s">
        <v>435</v>
      </c>
      <c r="G1010" s="335">
        <v>129509.30487758954</v>
      </c>
      <c r="H1010" s="333">
        <v>117485.6880452</v>
      </c>
    </row>
    <row r="1011" spans="2:8" x14ac:dyDescent="0.25">
      <c r="B1011" s="320" t="s">
        <v>755</v>
      </c>
      <c r="C1011" s="321"/>
      <c r="D1011" s="322"/>
      <c r="E1011" s="323"/>
      <c r="F1011" s="320" t="s">
        <v>755</v>
      </c>
      <c r="G1011" s="324"/>
      <c r="H1011" s="322"/>
    </row>
    <row r="1012" spans="2:8" x14ac:dyDescent="0.25">
      <c r="B1012" s="325" t="s">
        <v>46</v>
      </c>
      <c r="C1012" s="326">
        <v>19</v>
      </c>
      <c r="D1012" s="327">
        <v>100365.93806208423</v>
      </c>
      <c r="E1012" s="328"/>
      <c r="F1012" s="325" t="s">
        <v>437</v>
      </c>
      <c r="G1012" s="329">
        <v>98532.969031042114</v>
      </c>
      <c r="H1012" s="327">
        <v>97626</v>
      </c>
    </row>
    <row r="1013" spans="2:8" x14ac:dyDescent="0.25">
      <c r="B1013" s="325" t="s">
        <v>18</v>
      </c>
      <c r="C1013" s="326">
        <v>0</v>
      </c>
      <c r="D1013" s="327" t="s">
        <v>684</v>
      </c>
      <c r="E1013" s="328"/>
      <c r="F1013" s="325" t="s">
        <v>438</v>
      </c>
      <c r="G1013" s="329">
        <v>12740</v>
      </c>
      <c r="H1013" s="327">
        <v>12740</v>
      </c>
    </row>
    <row r="1014" spans="2:8" x14ac:dyDescent="0.25">
      <c r="B1014" s="330" t="s">
        <v>244</v>
      </c>
      <c r="C1014" s="326">
        <v>5</v>
      </c>
      <c r="D1014" s="327">
        <v>96700</v>
      </c>
      <c r="E1014" s="328"/>
      <c r="F1014" s="330" t="s">
        <v>439</v>
      </c>
      <c r="G1014" s="329">
        <v>11508.488411857499</v>
      </c>
      <c r="H1014" s="327">
        <v>12365.42240616</v>
      </c>
    </row>
    <row r="1015" spans="2:8" x14ac:dyDescent="0.25">
      <c r="B1015" s="331" t="s">
        <v>740</v>
      </c>
      <c r="C1015" s="332">
        <v>24</v>
      </c>
      <c r="D1015" s="333">
        <v>98532.969031042114</v>
      </c>
      <c r="E1015" s="334"/>
      <c r="F1015" s="331" t="s">
        <v>435</v>
      </c>
      <c r="G1015" s="335">
        <v>122781.45744289961</v>
      </c>
      <c r="H1015" s="333">
        <v>122731.42240616</v>
      </c>
    </row>
    <row r="1016" spans="2:8" x14ac:dyDescent="0.25">
      <c r="B1016" s="320" t="s">
        <v>756</v>
      </c>
      <c r="C1016" s="321"/>
      <c r="D1016" s="322"/>
      <c r="E1016" s="323"/>
      <c r="F1016" s="320" t="s">
        <v>756</v>
      </c>
      <c r="G1016" s="324"/>
      <c r="H1016" s="322"/>
    </row>
    <row r="1017" spans="2:8" x14ac:dyDescent="0.25">
      <c r="B1017" s="325" t="s">
        <v>46</v>
      </c>
      <c r="C1017" s="326">
        <v>4</v>
      </c>
      <c r="D1017" s="327" t="s">
        <v>684</v>
      </c>
      <c r="E1017" s="328"/>
      <c r="F1017" s="325" t="s">
        <v>437</v>
      </c>
      <c r="G1017" s="329">
        <v>91913.489999999991</v>
      </c>
      <c r="H1017" s="327">
        <v>86478</v>
      </c>
    </row>
    <row r="1018" spans="2:8" x14ac:dyDescent="0.25">
      <c r="B1018" s="325" t="s">
        <v>18</v>
      </c>
      <c r="C1018" s="326">
        <v>0</v>
      </c>
      <c r="D1018" s="327" t="s">
        <v>684</v>
      </c>
      <c r="E1018" s="328"/>
      <c r="F1018" s="325" t="s">
        <v>438</v>
      </c>
      <c r="G1018" s="329">
        <v>12740</v>
      </c>
      <c r="H1018" s="327">
        <v>12740</v>
      </c>
    </row>
    <row r="1019" spans="2:8" x14ac:dyDescent="0.25">
      <c r="B1019" s="330" t="s">
        <v>244</v>
      </c>
      <c r="C1019" s="326">
        <v>2</v>
      </c>
      <c r="D1019" s="327" t="s">
        <v>684</v>
      </c>
      <c r="E1019" s="328"/>
      <c r="F1019" s="330" t="s">
        <v>439</v>
      </c>
      <c r="G1019" s="329">
        <v>10775.082078439766</v>
      </c>
      <c r="H1019" s="327">
        <v>10953.40379448</v>
      </c>
    </row>
    <row r="1020" spans="2:8" x14ac:dyDescent="0.25">
      <c r="B1020" s="331" t="s">
        <v>740</v>
      </c>
      <c r="C1020" s="332">
        <v>6</v>
      </c>
      <c r="D1020" s="333">
        <v>91913.489999999991</v>
      </c>
      <c r="E1020" s="334"/>
      <c r="F1020" s="331" t="s">
        <v>435</v>
      </c>
      <c r="G1020" s="335">
        <v>115428.57207843976</v>
      </c>
      <c r="H1020" s="333">
        <v>110171.40379447999</v>
      </c>
    </row>
    <row r="1021" spans="2:8" x14ac:dyDescent="0.25">
      <c r="B1021" s="320" t="s">
        <v>594</v>
      </c>
      <c r="C1021" s="321"/>
      <c r="D1021" s="322"/>
      <c r="E1021" s="323"/>
      <c r="F1021" s="320" t="s">
        <v>594</v>
      </c>
      <c r="G1021" s="324"/>
      <c r="H1021" s="322"/>
    </row>
    <row r="1022" spans="2:8" x14ac:dyDescent="0.25">
      <c r="B1022" s="325" t="s">
        <v>46</v>
      </c>
      <c r="C1022" s="326">
        <v>16</v>
      </c>
      <c r="D1022" s="327">
        <v>74428</v>
      </c>
      <c r="E1022" s="328"/>
      <c r="F1022" s="325" t="s">
        <v>437</v>
      </c>
      <c r="G1022" s="329">
        <v>70289</v>
      </c>
      <c r="H1022" s="327">
        <v>54582</v>
      </c>
    </row>
    <row r="1023" spans="2:8" x14ac:dyDescent="0.25">
      <c r="B1023" s="325" t="s">
        <v>18</v>
      </c>
      <c r="C1023" s="326">
        <v>0</v>
      </c>
      <c r="D1023" s="327" t="s">
        <v>684</v>
      </c>
      <c r="E1023" s="328"/>
      <c r="F1023" s="325" t="s">
        <v>438</v>
      </c>
      <c r="G1023" s="329">
        <v>12740</v>
      </c>
      <c r="H1023" s="327">
        <v>12740</v>
      </c>
    </row>
    <row r="1024" spans="2:8" x14ac:dyDescent="0.25">
      <c r="B1024" s="330" t="s">
        <v>244</v>
      </c>
      <c r="C1024" s="326">
        <v>5</v>
      </c>
      <c r="D1024" s="327">
        <v>66150</v>
      </c>
      <c r="E1024" s="328"/>
      <c r="F1024" s="330" t="s">
        <v>439</v>
      </c>
      <c r="G1024" s="329">
        <v>8580.91360652</v>
      </c>
      <c r="H1024" s="327">
        <v>6913.4194351200013</v>
      </c>
    </row>
    <row r="1025" spans="2:8" x14ac:dyDescent="0.25">
      <c r="B1025" s="331" t="s">
        <v>740</v>
      </c>
      <c r="C1025" s="332">
        <v>21</v>
      </c>
      <c r="D1025" s="333">
        <v>70289</v>
      </c>
      <c r="E1025" s="334"/>
      <c r="F1025" s="331" t="s">
        <v>435</v>
      </c>
      <c r="G1025" s="335">
        <v>91609.91360652</v>
      </c>
      <c r="H1025" s="333">
        <v>74235.419435119999</v>
      </c>
    </row>
  </sheetData>
  <mergeCells count="3">
    <mergeCell ref="B2:H2"/>
    <mergeCell ref="B3:D3"/>
    <mergeCell ref="F3:H3"/>
  </mergeCells>
  <pageMargins left="0.7" right="0.7" top="0.75" bottom="0.75" header="0.3" footer="0.3"/>
  <pageSetup scale="77" fitToHeight="0" orientation="portrait" verticalDpi="1200" r:id="rId1"/>
  <headerFooter>
    <oddFooter>&amp;C&amp;P</oddFooter>
  </headerFooter>
  <rowBreaks count="18" manualBreakCount="18">
    <brk id="45" max="16383" man="1"/>
    <brk id="80" min="1" max="7" man="1"/>
    <brk id="127" min="1" max="7" man="1"/>
    <brk id="176" min="1" max="7" man="1"/>
    <brk id="228" min="1" max="7" man="1"/>
    <brk id="280" min="1" max="7" man="1"/>
    <brk id="332" min="1" max="7" man="1"/>
    <brk id="387" min="1" max="7" man="1"/>
    <brk id="442" min="1" max="7" man="1"/>
    <brk id="497" min="1" max="7" man="1"/>
    <brk id="547" min="1" max="7" man="1"/>
    <brk id="596" min="1" max="7" man="1"/>
    <brk id="648" min="1" max="7" man="1"/>
    <brk id="703" min="1" max="7" man="1"/>
    <brk id="758" min="1" max="7" man="1"/>
    <brk id="810" min="1" max="7" man="1"/>
    <brk id="864" min="1" max="7" man="1"/>
    <brk id="916" min="1" max="7"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6336C-EE7D-4BF6-AA44-06DBD904B107}">
  <sheetPr codeName="Sheet9">
    <tabColor theme="6" tint="0.39997558519241921"/>
  </sheetPr>
  <dimension ref="A1:AI449"/>
  <sheetViews>
    <sheetView showGridLines="0" zoomScale="50" zoomScaleNormal="50" zoomScaleSheetLayoutView="85" workbookViewId="0">
      <selection activeCell="I1" sqref="I1:I1048576"/>
    </sheetView>
  </sheetViews>
  <sheetFormatPr defaultColWidth="9.28515625" defaultRowHeight="15" outlineLevelCol="1" x14ac:dyDescent="0.25"/>
  <cols>
    <col min="1" max="1" width="5.28515625" customWidth="1"/>
    <col min="2" max="2" width="45.7109375" bestFit="1" customWidth="1"/>
    <col min="3" max="3" width="11.28515625" customWidth="1"/>
    <col min="4" max="4" width="24.7109375" style="20" customWidth="1" outlineLevel="1"/>
    <col min="5" max="5" width="26.28515625" style="20" customWidth="1"/>
    <col min="6" max="6" width="19" style="20" customWidth="1"/>
    <col min="7" max="7" width="21.7109375" style="20" customWidth="1"/>
    <col min="8" max="8" width="22.5703125" style="20" customWidth="1"/>
    <col min="9" max="9" width="21.28515625" style="20" customWidth="1"/>
    <col min="10" max="10" width="23.140625" style="20" customWidth="1"/>
    <col min="11" max="11" width="26.28515625" style="20" customWidth="1"/>
    <col min="12" max="13" width="1.5703125" customWidth="1"/>
    <col min="14" max="14" width="38.5703125" style="137" bestFit="1" customWidth="1"/>
    <col min="15" max="15" width="27.5703125" style="137" bestFit="1" customWidth="1"/>
    <col min="16" max="16" width="18.28515625" style="137" bestFit="1" customWidth="1"/>
    <col min="17" max="17" width="11" style="137" bestFit="1" customWidth="1"/>
    <col min="18" max="20" width="9.28515625" style="137"/>
    <col min="21" max="21" width="3.5703125" style="137" customWidth="1"/>
    <col min="22" max="22" width="9.28515625" style="137"/>
    <col min="23" max="24" width="6.5703125" style="137" customWidth="1"/>
    <col min="25" max="35" width="9.28515625" style="137"/>
  </cols>
  <sheetData>
    <row r="1" spans="1:34" ht="9" customHeight="1" x14ac:dyDescent="0.25"/>
    <row r="2" spans="1:34" ht="15.75" x14ac:dyDescent="0.25">
      <c r="B2" s="302"/>
      <c r="C2" s="302" t="s">
        <v>765</v>
      </c>
      <c r="D2" s="303"/>
      <c r="E2" s="303"/>
      <c r="F2" s="304"/>
      <c r="G2" s="303"/>
      <c r="H2" s="303" t="s">
        <v>435</v>
      </c>
      <c r="I2" s="303"/>
      <c r="J2" s="303"/>
      <c r="K2" s="305"/>
    </row>
    <row r="3" spans="1:34" ht="48" x14ac:dyDescent="0.3">
      <c r="B3" s="105" t="s">
        <v>49</v>
      </c>
      <c r="C3" s="106" t="s">
        <v>794</v>
      </c>
      <c r="D3" s="106" t="s">
        <v>763</v>
      </c>
      <c r="E3" s="107" t="s">
        <v>762</v>
      </c>
      <c r="F3" s="107" t="s">
        <v>761</v>
      </c>
      <c r="G3" s="109" t="s">
        <v>736</v>
      </c>
      <c r="H3" s="108" t="s">
        <v>760</v>
      </c>
      <c r="I3" s="107" t="s">
        <v>759</v>
      </c>
      <c r="J3" s="107" t="s">
        <v>758</v>
      </c>
      <c r="K3" s="109" t="s">
        <v>737</v>
      </c>
      <c r="N3" s="536" t="s">
        <v>793</v>
      </c>
      <c r="O3" s="537"/>
      <c r="P3" s="537"/>
      <c r="Q3" s="537"/>
      <c r="R3" s="537"/>
      <c r="S3" s="537"/>
      <c r="T3" s="537"/>
      <c r="U3" s="141"/>
      <c r="W3" s="538" t="s">
        <v>787</v>
      </c>
      <c r="X3" s="141"/>
      <c r="Y3" s="141"/>
      <c r="Z3" s="141"/>
      <c r="AA3" s="141"/>
      <c r="AB3" s="141"/>
      <c r="AC3" s="141"/>
      <c r="AD3" s="141"/>
      <c r="AE3" s="141"/>
      <c r="AF3" s="141"/>
      <c r="AG3" s="141"/>
      <c r="AH3" s="141"/>
    </row>
    <row r="4" spans="1:34" ht="15.75" x14ac:dyDescent="0.25">
      <c r="A4" s="31" t="s">
        <v>3</v>
      </c>
      <c r="B4" s="56" t="s">
        <v>3</v>
      </c>
      <c r="C4" s="57">
        <v>15</v>
      </c>
      <c r="D4" s="274">
        <v>68699.923372123172</v>
      </c>
      <c r="E4" s="275">
        <v>52094.400000000001</v>
      </c>
      <c r="F4" s="275">
        <v>-16605.523372123171</v>
      </c>
      <c r="G4" s="147">
        <v>-0.24171094459853948</v>
      </c>
      <c r="H4" s="276">
        <v>89578.147726520983</v>
      </c>
      <c r="I4" s="275">
        <v>71432.737133503993</v>
      </c>
      <c r="J4" s="275">
        <v>-18145.41059301699</v>
      </c>
      <c r="K4" s="117">
        <v>-0.2025651462275633</v>
      </c>
    </row>
    <row r="5" spans="1:34" ht="15.75" x14ac:dyDescent="0.25">
      <c r="A5" s="31" t="s">
        <v>50</v>
      </c>
      <c r="B5" s="58" t="s">
        <v>50</v>
      </c>
      <c r="C5" s="59">
        <v>8</v>
      </c>
      <c r="D5" s="118">
        <v>61970.762707423848</v>
      </c>
      <c r="E5" s="118">
        <v>50628</v>
      </c>
      <c r="F5" s="119">
        <v>-11342.762707423848</v>
      </c>
      <c r="G5" s="148">
        <v>-0.18303409885360392</v>
      </c>
      <c r="H5" s="149">
        <v>83285.092866612686</v>
      </c>
      <c r="I5" s="118">
        <v>69780.601208480002</v>
      </c>
      <c r="J5" s="119">
        <v>-13504.491658132683</v>
      </c>
      <c r="K5" s="120">
        <v>-0.16214776490387228</v>
      </c>
    </row>
    <row r="6" spans="1:34" ht="15.75" x14ac:dyDescent="0.25">
      <c r="A6" s="31" t="s">
        <v>239</v>
      </c>
      <c r="B6" s="56" t="s">
        <v>239</v>
      </c>
      <c r="C6" s="57">
        <v>3</v>
      </c>
      <c r="D6" s="274">
        <v>74004.551844536632</v>
      </c>
      <c r="E6" s="274">
        <v>50808</v>
      </c>
      <c r="F6" s="275">
        <v>-23196.551844536632</v>
      </c>
      <c r="G6" s="147">
        <v>-0.31344763621116517</v>
      </c>
      <c r="H6" s="282">
        <v>96047.30482509789</v>
      </c>
      <c r="I6" s="274">
        <v>69983.400217279996</v>
      </c>
      <c r="J6" s="275">
        <v>-26063.904607817894</v>
      </c>
      <c r="K6" s="117">
        <v>-0.27136528875308114</v>
      </c>
    </row>
    <row r="7" spans="1:34" ht="15.75" x14ac:dyDescent="0.25">
      <c r="A7" s="31" t="s">
        <v>4</v>
      </c>
      <c r="B7" s="58" t="s">
        <v>4</v>
      </c>
      <c r="C7" s="59">
        <v>12</v>
      </c>
      <c r="D7" s="118">
        <v>79264.765507097763</v>
      </c>
      <c r="E7" s="118">
        <v>62806</v>
      </c>
      <c r="F7" s="119">
        <v>-16458.765507097763</v>
      </c>
      <c r="G7" s="148">
        <v>-0.20764289658592333</v>
      </c>
      <c r="H7" s="149">
        <v>101954.01044954312</v>
      </c>
      <c r="I7" s="118">
        <v>83501.080814959991</v>
      </c>
      <c r="J7" s="119">
        <v>-18452.929634583124</v>
      </c>
      <c r="K7" s="120">
        <v>-0.18099268045679726</v>
      </c>
    </row>
    <row r="8" spans="1:34" ht="15.75" x14ac:dyDescent="0.25">
      <c r="A8" s="31" t="s">
        <v>240</v>
      </c>
      <c r="B8" s="56" t="s">
        <v>240</v>
      </c>
      <c r="C8" s="57">
        <v>5</v>
      </c>
      <c r="D8" s="274">
        <v>64731.374658623616</v>
      </c>
      <c r="E8" s="274">
        <v>57182.400000000001</v>
      </c>
      <c r="F8" s="275">
        <v>-7548.9746586236142</v>
      </c>
      <c r="G8" s="147">
        <v>-0.11662002697200449</v>
      </c>
      <c r="H8" s="282">
        <v>84319.60716063586</v>
      </c>
      <c r="I8" s="274">
        <v>77165.189115584013</v>
      </c>
      <c r="J8" s="275">
        <v>-7154.418045051847</v>
      </c>
      <c r="K8" s="117">
        <v>-8.4848806653262582E-2</v>
      </c>
    </row>
    <row r="9" spans="1:34" ht="15.75" x14ac:dyDescent="0.25">
      <c r="A9" s="31" t="s">
        <v>5</v>
      </c>
      <c r="B9" s="58" t="s">
        <v>5</v>
      </c>
      <c r="C9" s="59">
        <v>14</v>
      </c>
      <c r="D9" s="118">
        <v>80426.38419749793</v>
      </c>
      <c r="E9" s="118">
        <v>66680.571428571435</v>
      </c>
      <c r="F9" s="119">
        <v>-13745.812768926495</v>
      </c>
      <c r="G9" s="148">
        <v>-0.17091173383067654</v>
      </c>
      <c r="H9" s="149">
        <v>103811.90133094098</v>
      </c>
      <c r="I9" s="118">
        <v>87866.409955177136</v>
      </c>
      <c r="J9" s="119">
        <v>-15945.491375763842</v>
      </c>
      <c r="K9" s="120">
        <v>-0.15359983943393313</v>
      </c>
    </row>
    <row r="10" spans="1:34" ht="15.75" x14ac:dyDescent="0.25">
      <c r="A10" s="31" t="s">
        <v>6</v>
      </c>
      <c r="B10" s="56" t="s">
        <v>6</v>
      </c>
      <c r="C10" s="57">
        <v>35</v>
      </c>
      <c r="D10" s="274">
        <v>94140.919601103014</v>
      </c>
      <c r="E10" s="274">
        <v>80013.428571428565</v>
      </c>
      <c r="F10" s="275">
        <v>-14127.491029674449</v>
      </c>
      <c r="G10" s="147">
        <v>-0.15006748488899319</v>
      </c>
      <c r="H10" s="282">
        <v>116163.15314455031</v>
      </c>
      <c r="I10" s="274">
        <v>102888.02224986284</v>
      </c>
      <c r="J10" s="275">
        <v>-13275.130894687463</v>
      </c>
      <c r="K10" s="117">
        <v>-0.1142800495279966</v>
      </c>
    </row>
    <row r="11" spans="1:34" ht="15.75" x14ac:dyDescent="0.25">
      <c r="A11" s="31" t="s">
        <v>587</v>
      </c>
      <c r="B11" s="83" t="s">
        <v>645</v>
      </c>
      <c r="C11" s="59">
        <v>3</v>
      </c>
      <c r="D11" s="118">
        <v>52372.637979309737</v>
      </c>
      <c r="E11" s="118">
        <v>47116</v>
      </c>
      <c r="F11" s="119">
        <v>-5256.6379793097367</v>
      </c>
      <c r="G11" s="148">
        <v>-0.10036992945412482</v>
      </c>
      <c r="H11" s="149">
        <v>69074.010393783246</v>
      </c>
      <c r="I11" s="118">
        <v>65823.767214559994</v>
      </c>
      <c r="J11" s="119">
        <v>-3250.2431792232528</v>
      </c>
      <c r="K11" s="120">
        <v>-4.705450227508115E-2</v>
      </c>
    </row>
    <row r="12" spans="1:34" ht="15.75" x14ac:dyDescent="0.25">
      <c r="A12" s="31" t="s">
        <v>586</v>
      </c>
      <c r="B12" s="64" t="s">
        <v>586</v>
      </c>
      <c r="C12" s="57">
        <v>13</v>
      </c>
      <c r="D12" s="274">
        <v>96559.336389391116</v>
      </c>
      <c r="E12" s="274">
        <v>88171.846153846156</v>
      </c>
      <c r="F12" s="275">
        <v>-8387.4902355449594</v>
      </c>
      <c r="G12" s="147">
        <v>-8.6863586155160086E-2</v>
      </c>
      <c r="H12" s="282">
        <v>120818.97044770021</v>
      </c>
      <c r="I12" s="274">
        <v>112079.79446703385</v>
      </c>
      <c r="J12" s="275">
        <v>-8739.1759806663613</v>
      </c>
      <c r="K12" s="117">
        <v>-7.2332812871049521E-2</v>
      </c>
    </row>
    <row r="13" spans="1:34" ht="15.75" x14ac:dyDescent="0.25">
      <c r="A13" s="31" t="s">
        <v>51</v>
      </c>
      <c r="B13" s="58" t="s">
        <v>51</v>
      </c>
      <c r="C13" s="59">
        <v>8</v>
      </c>
      <c r="D13" s="118">
        <v>74090.020369171354</v>
      </c>
      <c r="E13" s="118">
        <v>60421.5</v>
      </c>
      <c r="F13" s="119">
        <v>-13668.520369171354</v>
      </c>
      <c r="G13" s="148">
        <v>-0.18448530991170825</v>
      </c>
      <c r="H13" s="149">
        <v>94437.65681889531</v>
      </c>
      <c r="I13" s="118">
        <v>80814.557278939988</v>
      </c>
      <c r="J13" s="119">
        <v>-13623.099539955321</v>
      </c>
      <c r="K13" s="120">
        <v>-0.14425495081988923</v>
      </c>
    </row>
    <row r="14" spans="1:34" ht="15.75" x14ac:dyDescent="0.25">
      <c r="A14" s="31" t="s">
        <v>585</v>
      </c>
      <c r="B14" s="56" t="s">
        <v>585</v>
      </c>
      <c r="C14" s="57">
        <v>32</v>
      </c>
      <c r="D14" s="274">
        <v>82480.770157247665</v>
      </c>
      <c r="E14" s="274">
        <v>64966.5</v>
      </c>
      <c r="F14" s="275">
        <v>-17514.270157247665</v>
      </c>
      <c r="G14" s="147">
        <v>-0.21234367870058823</v>
      </c>
      <c r="H14" s="282">
        <v>105222.73992775196</v>
      </c>
      <c r="I14" s="274">
        <v>85935.232251140013</v>
      </c>
      <c r="J14" s="275">
        <v>-19287.507676611945</v>
      </c>
      <c r="K14" s="117">
        <v>-0.18330170540944984</v>
      </c>
    </row>
    <row r="15" spans="1:34" ht="15.75" x14ac:dyDescent="0.25">
      <c r="A15" s="31" t="s">
        <v>0</v>
      </c>
      <c r="B15" s="58" t="s">
        <v>0</v>
      </c>
      <c r="C15" s="59">
        <v>15</v>
      </c>
      <c r="D15" s="118">
        <v>79680.999276234157</v>
      </c>
      <c r="E15" s="118">
        <v>64020</v>
      </c>
      <c r="F15" s="119">
        <v>-15660.999276234157</v>
      </c>
      <c r="G15" s="148">
        <v>-0.19654622078648107</v>
      </c>
      <c r="H15" s="149">
        <v>102765.14915523426</v>
      </c>
      <c r="I15" s="118">
        <v>84868.847463200014</v>
      </c>
      <c r="J15" s="119">
        <v>-17896.301692034249</v>
      </c>
      <c r="K15" s="120">
        <v>-0.17414757667505137</v>
      </c>
    </row>
    <row r="16" spans="1:34" ht="15.75" x14ac:dyDescent="0.25">
      <c r="A16" s="31" t="s">
        <v>8</v>
      </c>
      <c r="B16" s="56" t="s">
        <v>8</v>
      </c>
      <c r="C16" s="57">
        <v>1</v>
      </c>
      <c r="D16" s="274">
        <v>93352.39499999999</v>
      </c>
      <c r="E16" s="274">
        <v>66432</v>
      </c>
      <c r="F16" s="275">
        <v>-26920.39499999999</v>
      </c>
      <c r="G16" s="147">
        <v>-0.28837390835018206</v>
      </c>
      <c r="H16" s="282">
        <v>116082.92065615999</v>
      </c>
      <c r="I16" s="274">
        <v>87586.354181119998</v>
      </c>
      <c r="J16" s="275">
        <v>-28496.566475039988</v>
      </c>
      <c r="K16" s="117">
        <v>-0.24548457528431256</v>
      </c>
    </row>
    <row r="17" spans="1:35" ht="15.75" x14ac:dyDescent="0.25">
      <c r="A17" s="31" t="s">
        <v>52</v>
      </c>
      <c r="B17" s="58" t="s">
        <v>52</v>
      </c>
      <c r="C17" s="59">
        <v>2</v>
      </c>
      <c r="D17" s="118">
        <v>57529.939297146768</v>
      </c>
      <c r="E17" s="118">
        <v>49122</v>
      </c>
      <c r="F17" s="119">
        <v>-8407.9392971467678</v>
      </c>
      <c r="G17" s="148">
        <v>-0.14614893392671743</v>
      </c>
      <c r="H17" s="149">
        <v>75436.304772905889</v>
      </c>
      <c r="I17" s="118">
        <v>68083.849501520002</v>
      </c>
      <c r="J17" s="119">
        <v>-7352.4552713858866</v>
      </c>
      <c r="K17" s="120">
        <v>-9.7465740050759142E-2</v>
      </c>
    </row>
    <row r="18" spans="1:35" ht="15.75" x14ac:dyDescent="0.25">
      <c r="A18" s="31" t="s">
        <v>2</v>
      </c>
      <c r="B18" s="56" t="s">
        <v>2</v>
      </c>
      <c r="C18" s="57">
        <v>9</v>
      </c>
      <c r="D18" s="274">
        <v>86611.048603138115</v>
      </c>
      <c r="E18" s="274">
        <v>66866.666666666672</v>
      </c>
      <c r="F18" s="275">
        <v>-19744.381936471444</v>
      </c>
      <c r="G18" s="147">
        <v>-0.22796608810202143</v>
      </c>
      <c r="H18" s="282">
        <v>109792.88093142222</v>
      </c>
      <c r="I18" s="274">
        <v>88076.076231999992</v>
      </c>
      <c r="J18" s="275">
        <v>-21716.804699422224</v>
      </c>
      <c r="K18" s="117">
        <v>-0.19779793111528576</v>
      </c>
    </row>
    <row r="19" spans="1:35" ht="15.75" x14ac:dyDescent="0.25">
      <c r="A19" s="31" t="s">
        <v>1</v>
      </c>
      <c r="B19" s="60" t="s">
        <v>1</v>
      </c>
      <c r="C19" s="61">
        <v>6</v>
      </c>
      <c r="D19" s="121">
        <v>87412.375796953842</v>
      </c>
      <c r="E19" s="121">
        <v>69110</v>
      </c>
      <c r="F19" s="122">
        <v>-18302.375796953842</v>
      </c>
      <c r="G19" s="150">
        <v>-0.20937968600084253</v>
      </c>
      <c r="H19" s="151">
        <v>110123.31365410496</v>
      </c>
      <c r="I19" s="121">
        <v>90603.552767600006</v>
      </c>
      <c r="J19" s="122">
        <v>-19519.760886504955</v>
      </c>
      <c r="K19" s="123">
        <v>-0.17725366444943819</v>
      </c>
      <c r="V19" s="542"/>
      <c r="W19" s="542"/>
      <c r="X19" s="542"/>
      <c r="Y19" s="542"/>
      <c r="Z19" s="542"/>
    </row>
    <row r="20" spans="1:35" ht="15.75" x14ac:dyDescent="0.25">
      <c r="B20" s="62" t="s">
        <v>646</v>
      </c>
      <c r="C20" s="63">
        <v>181</v>
      </c>
      <c r="D20" s="124">
        <v>77083.012797312433</v>
      </c>
      <c r="E20" s="124">
        <v>62277.45705128205</v>
      </c>
      <c r="F20" s="124">
        <v>-14805.555746030383</v>
      </c>
      <c r="G20" s="152">
        <v>-0.19207287324071215</v>
      </c>
      <c r="H20" s="126">
        <v>98682.072766366226</v>
      </c>
      <c r="I20" s="127">
        <v>82905.592003247613</v>
      </c>
      <c r="J20" s="124">
        <v>-15776.480763118612</v>
      </c>
      <c r="K20" s="125">
        <v>-0.15987180164395273</v>
      </c>
      <c r="V20" s="543" t="s">
        <v>245</v>
      </c>
      <c r="W20" s="543"/>
      <c r="X20" s="543"/>
      <c r="Y20" s="543"/>
      <c r="Z20" s="543"/>
      <c r="AA20" s="137" t="s">
        <v>792</v>
      </c>
      <c r="AB20" s="137" t="s">
        <v>791</v>
      </c>
      <c r="AC20" s="137" t="s">
        <v>790</v>
      </c>
    </row>
    <row r="21" spans="1:35" x14ac:dyDescent="0.25">
      <c r="D21" s="128"/>
      <c r="V21" s="544" t="s">
        <v>647</v>
      </c>
      <c r="W21" s="544"/>
      <c r="X21" s="544"/>
      <c r="Y21" s="544"/>
      <c r="Z21" s="544"/>
      <c r="AA21" s="145">
        <v>0.67</v>
      </c>
      <c r="AB21" s="145">
        <v>0.18</v>
      </c>
      <c r="AC21" s="145">
        <v>0.15</v>
      </c>
      <c r="AD21" s="145"/>
    </row>
    <row r="22" spans="1:35" ht="15" customHeight="1" x14ac:dyDescent="0.25">
      <c r="E22" s="129"/>
      <c r="V22" s="544" t="s">
        <v>648</v>
      </c>
      <c r="W22" s="544"/>
      <c r="X22" s="544"/>
      <c r="Y22" s="544"/>
      <c r="Z22" s="544"/>
      <c r="AA22" s="145">
        <v>0.71</v>
      </c>
      <c r="AB22" s="145">
        <v>0.18</v>
      </c>
      <c r="AC22" s="145">
        <v>0.11</v>
      </c>
      <c r="AD22" s="145"/>
    </row>
    <row r="23" spans="1:35" ht="31.5" x14ac:dyDescent="0.25">
      <c r="B23" s="110" t="s">
        <v>3</v>
      </c>
      <c r="C23" s="533" t="s">
        <v>765</v>
      </c>
      <c r="D23" s="534"/>
      <c r="E23" s="534"/>
      <c r="F23" s="535"/>
      <c r="G23" s="534"/>
      <c r="H23" s="303" t="s">
        <v>435</v>
      </c>
      <c r="I23" s="303"/>
      <c r="J23" s="303"/>
      <c r="K23" s="305"/>
      <c r="L23" s="55"/>
      <c r="M23" s="55"/>
      <c r="V23" s="544" t="s">
        <v>649</v>
      </c>
      <c r="W23" s="544"/>
      <c r="X23" s="544"/>
      <c r="Y23" s="544"/>
      <c r="Z23" s="544"/>
      <c r="AA23" s="145">
        <v>0.73</v>
      </c>
      <c r="AB23" s="145">
        <v>0.13</v>
      </c>
      <c r="AC23" s="145">
        <v>0.14000000000000001</v>
      </c>
      <c r="AD23" s="145"/>
    </row>
    <row r="24" spans="1:35" ht="47.25" x14ac:dyDescent="0.25">
      <c r="B24" s="111" t="s">
        <v>679</v>
      </c>
      <c r="C24" s="113" t="s">
        <v>764</v>
      </c>
      <c r="D24" s="113" t="s">
        <v>763</v>
      </c>
      <c r="E24" s="114" t="s">
        <v>762</v>
      </c>
      <c r="F24" s="114" t="s">
        <v>761</v>
      </c>
      <c r="G24" s="114" t="s">
        <v>736</v>
      </c>
      <c r="H24" s="115" t="s">
        <v>760</v>
      </c>
      <c r="I24" s="114" t="s">
        <v>759</v>
      </c>
      <c r="J24" s="114" t="s">
        <v>758</v>
      </c>
      <c r="K24" s="116" t="s">
        <v>737</v>
      </c>
      <c r="L24" s="55"/>
      <c r="M24" s="55"/>
      <c r="N24" s="143" t="s">
        <v>789</v>
      </c>
      <c r="O24" s="143" t="s">
        <v>785</v>
      </c>
      <c r="P24" s="143" t="s">
        <v>784</v>
      </c>
      <c r="Q24" s="143" t="s">
        <v>654</v>
      </c>
      <c r="V24" s="544" t="s">
        <v>650</v>
      </c>
      <c r="W24" s="544"/>
      <c r="X24" s="544"/>
      <c r="Y24" s="544"/>
      <c r="Z24" s="544"/>
      <c r="AA24" s="145">
        <v>0.78</v>
      </c>
      <c r="AB24" s="145">
        <v>0.14000000000000001</v>
      </c>
      <c r="AC24" s="145">
        <v>0.08</v>
      </c>
      <c r="AD24" s="145"/>
    </row>
    <row r="25" spans="1:35" ht="15.75" x14ac:dyDescent="0.25">
      <c r="A25" s="15">
        <v>100</v>
      </c>
      <c r="B25" s="56" t="s">
        <v>430</v>
      </c>
      <c r="C25" s="285">
        <v>28</v>
      </c>
      <c r="D25" s="286">
        <v>60843.3</v>
      </c>
      <c r="E25" s="287">
        <v>41880</v>
      </c>
      <c r="F25" s="287">
        <v>-18963.300000000003</v>
      </c>
      <c r="G25" s="133">
        <v>-0.311674416081968</v>
      </c>
      <c r="H25" s="276">
        <v>80713.162141815701</v>
      </c>
      <c r="I25" s="275">
        <v>59924.5693808</v>
      </c>
      <c r="J25" s="287">
        <v>-20788.592761015701</v>
      </c>
      <c r="K25" s="133">
        <v>-0.25756137176845401</v>
      </c>
      <c r="N25" s="137" t="s">
        <v>783</v>
      </c>
      <c r="O25" s="342">
        <v>9320</v>
      </c>
      <c r="P25" s="342">
        <v>13850</v>
      </c>
      <c r="Q25" s="341">
        <v>-0.5</v>
      </c>
      <c r="S25" s="345">
        <v>0.19609905948197867</v>
      </c>
      <c r="T25" s="345">
        <v>0.29141330191259707</v>
      </c>
    </row>
    <row r="26" spans="1:35" ht="15.75" x14ac:dyDescent="0.25">
      <c r="A26" s="15">
        <v>101</v>
      </c>
      <c r="B26" s="56" t="s">
        <v>238</v>
      </c>
      <c r="C26" s="285">
        <v>5</v>
      </c>
      <c r="D26" s="286">
        <v>47939</v>
      </c>
      <c r="E26" s="287">
        <v>40938</v>
      </c>
      <c r="F26" s="287">
        <v>-7001</v>
      </c>
      <c r="G26" s="133">
        <v>-0.14603975886021819</v>
      </c>
      <c r="H26" s="276">
        <v>62573.120000000003</v>
      </c>
      <c r="I26" s="275">
        <v>58863.254568080003</v>
      </c>
      <c r="J26" s="287">
        <v>-3709.8654319199995</v>
      </c>
      <c r="K26" s="133">
        <v>-5.9288484127369701E-2</v>
      </c>
      <c r="N26" s="137" t="s">
        <v>652</v>
      </c>
      <c r="O26" s="342">
        <v>33684</v>
      </c>
      <c r="P26" s="342">
        <v>29402</v>
      </c>
      <c r="Q26" s="341">
        <v>-0.25</v>
      </c>
      <c r="S26" s="345">
        <v>0.70873398278873057</v>
      </c>
      <c r="T26" s="345">
        <v>0.61863782691943525</v>
      </c>
    </row>
    <row r="27" spans="1:35" ht="15.75" x14ac:dyDescent="0.25">
      <c r="A27" s="15">
        <v>102</v>
      </c>
      <c r="B27" s="56" t="s">
        <v>53</v>
      </c>
      <c r="C27" s="285">
        <v>19</v>
      </c>
      <c r="D27" s="286">
        <v>54370.25</v>
      </c>
      <c r="E27" s="287">
        <v>43914</v>
      </c>
      <c r="F27" s="287">
        <v>-10456.25</v>
      </c>
      <c r="G27" s="133">
        <v>-0.19231565056257788</v>
      </c>
      <c r="H27" s="276">
        <v>74697.760128640002</v>
      </c>
      <c r="I27" s="275">
        <v>62216.198180239997</v>
      </c>
      <c r="J27" s="287">
        <v>-12481.561948400005</v>
      </c>
      <c r="K27" s="133">
        <v>-0.16709419301067405</v>
      </c>
      <c r="N27" s="137" t="s">
        <v>653</v>
      </c>
      <c r="O27" s="342">
        <v>4523</v>
      </c>
      <c r="P27" s="342">
        <v>4275</v>
      </c>
      <c r="Q27" s="341">
        <v>0</v>
      </c>
      <c r="S27" s="345">
        <v>9.5166957729290722E-2</v>
      </c>
      <c r="T27" s="345">
        <v>8.9948871167967681E-2</v>
      </c>
    </row>
    <row r="28" spans="1:35" ht="15.75" x14ac:dyDescent="0.25">
      <c r="A28" s="15">
        <v>103</v>
      </c>
      <c r="B28" s="56" t="s">
        <v>54</v>
      </c>
      <c r="C28" s="285">
        <v>30</v>
      </c>
      <c r="D28" s="286">
        <v>67772.165000000008</v>
      </c>
      <c r="E28" s="287">
        <v>47238</v>
      </c>
      <c r="F28" s="287">
        <v>-20534.165000000008</v>
      </c>
      <c r="G28" s="133">
        <v>-0.30298818106224001</v>
      </c>
      <c r="H28" s="276">
        <v>89023.153341855796</v>
      </c>
      <c r="I28" s="275">
        <v>65961.219876079995</v>
      </c>
      <c r="J28" s="287">
        <v>-23061.933465775801</v>
      </c>
      <c r="K28" s="133">
        <v>-0.25905545467723651</v>
      </c>
      <c r="N28" s="137" t="s">
        <v>782</v>
      </c>
      <c r="O28" s="342">
        <v>0</v>
      </c>
      <c r="P28" s="342">
        <v>0</v>
      </c>
      <c r="Q28" s="341">
        <v>0.25</v>
      </c>
    </row>
    <row r="29" spans="1:35" ht="15.75" x14ac:dyDescent="0.25">
      <c r="A29" s="15">
        <v>104</v>
      </c>
      <c r="B29" s="56" t="s">
        <v>55</v>
      </c>
      <c r="C29" s="285">
        <v>22</v>
      </c>
      <c r="D29" s="286">
        <v>71120.250976219861</v>
      </c>
      <c r="E29" s="287">
        <v>49560</v>
      </c>
      <c r="F29" s="287">
        <v>-21560.250976219861</v>
      </c>
      <c r="G29" s="133">
        <v>-0.30315206541423567</v>
      </c>
      <c r="H29" s="276">
        <v>93062.546501137462</v>
      </c>
      <c r="I29" s="275">
        <v>68577.327089600003</v>
      </c>
      <c r="J29" s="287">
        <v>-24485.219411537459</v>
      </c>
      <c r="K29" s="133">
        <v>-0.26310497973788183</v>
      </c>
      <c r="N29" s="137" t="s">
        <v>654</v>
      </c>
      <c r="O29" s="344">
        <v>47527</v>
      </c>
      <c r="P29" s="344">
        <v>47527</v>
      </c>
      <c r="Q29" s="341">
        <v>0.5</v>
      </c>
    </row>
    <row r="30" spans="1:35" ht="15" customHeight="1" x14ac:dyDescent="0.25">
      <c r="A30" s="15">
        <v>105</v>
      </c>
      <c r="B30" s="56" t="s">
        <v>56</v>
      </c>
      <c r="C30" s="285">
        <v>16</v>
      </c>
      <c r="D30" s="286">
        <v>91841.75</v>
      </c>
      <c r="E30" s="287">
        <v>66432</v>
      </c>
      <c r="F30" s="287">
        <v>-25409.75</v>
      </c>
      <c r="G30" s="133">
        <v>-0.27666883525194153</v>
      </c>
      <c r="H30" s="276">
        <v>116109.42876077142</v>
      </c>
      <c r="I30" s="275">
        <v>87586.354181119998</v>
      </c>
      <c r="J30" s="287">
        <v>-28523.074579651424</v>
      </c>
      <c r="K30" s="133">
        <v>-0.24565683324839674</v>
      </c>
    </row>
    <row r="31" spans="1:35" ht="15" customHeight="1" x14ac:dyDescent="0.25">
      <c r="A31" s="15">
        <v>106</v>
      </c>
      <c r="B31" s="56" t="s">
        <v>57</v>
      </c>
      <c r="C31" s="285">
        <v>14</v>
      </c>
      <c r="D31" s="286">
        <v>75942.75</v>
      </c>
      <c r="E31" s="287">
        <v>46074</v>
      </c>
      <c r="F31" s="287">
        <v>-29868.75</v>
      </c>
      <c r="G31" s="133">
        <v>-0.39330614179760409</v>
      </c>
      <c r="H31" s="276">
        <v>95951.43209029561</v>
      </c>
      <c r="I31" s="275">
        <v>64649.786285840004</v>
      </c>
      <c r="J31" s="287">
        <v>-31301.645804455606</v>
      </c>
      <c r="K31" s="133">
        <v>-0.32622385224015232</v>
      </c>
      <c r="L31" s="103"/>
      <c r="M31" s="103"/>
    </row>
    <row r="32" spans="1:35" ht="15" customHeight="1" x14ac:dyDescent="0.3">
      <c r="A32" s="15">
        <v>107</v>
      </c>
      <c r="B32" s="56" t="s">
        <v>58</v>
      </c>
      <c r="C32" s="285">
        <v>14</v>
      </c>
      <c r="D32" s="286">
        <v>61804.75</v>
      </c>
      <c r="E32" s="287">
        <v>49560</v>
      </c>
      <c r="F32" s="287">
        <v>-12244.75</v>
      </c>
      <c r="G32" s="133">
        <v>-0.1981198856074978</v>
      </c>
      <c r="H32" s="276">
        <v>84940.557482798831</v>
      </c>
      <c r="I32" s="275">
        <v>68577.327089600003</v>
      </c>
      <c r="J32" s="287">
        <v>-16363.230393198828</v>
      </c>
      <c r="K32" s="133">
        <v>-0.19264331290164322</v>
      </c>
      <c r="L32" s="103"/>
      <c r="M32" s="103"/>
      <c r="N32" s="536" t="s">
        <v>788</v>
      </c>
      <c r="O32" s="141"/>
      <c r="P32" s="141"/>
      <c r="Q32" s="141"/>
      <c r="R32" s="141"/>
      <c r="S32" s="141"/>
      <c r="T32" s="141"/>
      <c r="U32" s="141"/>
      <c r="V32" s="536" t="s">
        <v>787</v>
      </c>
      <c r="W32" s="539"/>
      <c r="X32" s="141"/>
      <c r="Y32" s="141"/>
      <c r="Z32" s="141"/>
      <c r="AA32" s="141"/>
      <c r="AB32" s="141"/>
      <c r="AC32" s="141"/>
      <c r="AD32" s="141"/>
      <c r="AE32" s="141"/>
      <c r="AF32" s="141"/>
      <c r="AG32" s="141"/>
      <c r="AH32" s="141"/>
      <c r="AI32" s="141"/>
    </row>
    <row r="33" spans="1:13" ht="15" customHeight="1" x14ac:dyDescent="0.25">
      <c r="A33" s="15">
        <v>108</v>
      </c>
      <c r="B33" s="56" t="s">
        <v>59</v>
      </c>
      <c r="C33" s="285">
        <v>12</v>
      </c>
      <c r="D33" s="286">
        <v>46196.5</v>
      </c>
      <c r="E33" s="287">
        <v>37392</v>
      </c>
      <c r="F33" s="287">
        <v>-8804.5</v>
      </c>
      <c r="G33" s="133">
        <v>-0.19058803156083254</v>
      </c>
      <c r="H33" s="276">
        <v>64111.651091243279</v>
      </c>
      <c r="I33" s="275">
        <v>54868.114094720004</v>
      </c>
      <c r="J33" s="287">
        <v>-9243.5369965232749</v>
      </c>
      <c r="K33" s="133">
        <v>-0.14417873879691437</v>
      </c>
      <c r="L33" s="103"/>
      <c r="M33" s="103"/>
    </row>
    <row r="34" spans="1:13" ht="15" customHeight="1" x14ac:dyDescent="0.25">
      <c r="A34" s="15">
        <v>109</v>
      </c>
      <c r="B34" s="56" t="s">
        <v>60</v>
      </c>
      <c r="C34" s="285">
        <v>19</v>
      </c>
      <c r="D34" s="286">
        <v>74930.625</v>
      </c>
      <c r="E34" s="287">
        <v>61710</v>
      </c>
      <c r="F34" s="287">
        <v>-13220.625</v>
      </c>
      <c r="G34" s="133">
        <v>-0.17643820533993945</v>
      </c>
      <c r="H34" s="276">
        <v>97302.699573360005</v>
      </c>
      <c r="I34" s="275">
        <v>82266.260183599996</v>
      </c>
      <c r="J34" s="287">
        <v>-15036.439389760009</v>
      </c>
      <c r="K34" s="133">
        <v>-0.15453260244258174</v>
      </c>
      <c r="L34" s="103"/>
      <c r="M34" s="103"/>
    </row>
    <row r="35" spans="1:13" ht="15" customHeight="1" x14ac:dyDescent="0.25">
      <c r="A35" s="15">
        <v>110</v>
      </c>
      <c r="B35" s="56" t="s">
        <v>61</v>
      </c>
      <c r="C35" s="285">
        <v>30</v>
      </c>
      <c r="D35" s="286">
        <v>80800.146249999991</v>
      </c>
      <c r="E35" s="287">
        <v>64800</v>
      </c>
      <c r="F35" s="287">
        <v>-16000.146249999991</v>
      </c>
      <c r="G35" s="133">
        <v>-0.1980212535815799</v>
      </c>
      <c r="H35" s="276">
        <v>103367.7856544</v>
      </c>
      <c r="I35" s="275">
        <v>85747.643167999995</v>
      </c>
      <c r="J35" s="287">
        <v>-17620.1424864</v>
      </c>
      <c r="K35" s="133">
        <v>-0.1704606747145693</v>
      </c>
      <c r="L35" s="103"/>
      <c r="M35" s="103"/>
    </row>
    <row r="36" spans="1:13" ht="15" customHeight="1" x14ac:dyDescent="0.25">
      <c r="A36" s="15">
        <v>111</v>
      </c>
      <c r="B36" s="56" t="s">
        <v>62</v>
      </c>
      <c r="C36" s="285">
        <v>13</v>
      </c>
      <c r="D36" s="286">
        <v>90348.538685103558</v>
      </c>
      <c r="E36" s="287">
        <v>61710</v>
      </c>
      <c r="F36" s="287">
        <v>-28638.538685103558</v>
      </c>
      <c r="G36" s="133">
        <v>-0.31697843818945365</v>
      </c>
      <c r="H36" s="276">
        <v>113029.18333105984</v>
      </c>
      <c r="I36" s="275">
        <v>82266.260183599996</v>
      </c>
      <c r="J36" s="287">
        <v>-30762.923147459849</v>
      </c>
      <c r="K36" s="133">
        <v>-0.27216796796059267</v>
      </c>
      <c r="L36" s="103"/>
      <c r="M36" s="103"/>
    </row>
    <row r="37" spans="1:13" ht="15" customHeight="1" x14ac:dyDescent="0.25">
      <c r="A37" s="15">
        <v>112</v>
      </c>
      <c r="B37" s="56" t="s">
        <v>63</v>
      </c>
      <c r="C37" s="285">
        <v>28</v>
      </c>
      <c r="D37" s="286">
        <v>47639.428</v>
      </c>
      <c r="E37" s="287">
        <v>40938</v>
      </c>
      <c r="F37" s="287">
        <v>-6701.4279999999999</v>
      </c>
      <c r="G37" s="133">
        <v>-0.14066978302090444</v>
      </c>
      <c r="H37" s="276">
        <v>66963.193527012962</v>
      </c>
      <c r="I37" s="275">
        <v>58863.254568080003</v>
      </c>
      <c r="J37" s="287">
        <v>-8099.9389589329585</v>
      </c>
      <c r="K37" s="133">
        <v>-0.12096106132789862</v>
      </c>
      <c r="L37" s="103"/>
      <c r="M37" s="103"/>
    </row>
    <row r="38" spans="1:13" ht="15" customHeight="1" x14ac:dyDescent="0.25">
      <c r="A38" s="15">
        <v>113</v>
      </c>
      <c r="B38" s="56" t="s">
        <v>64</v>
      </c>
      <c r="C38" s="285">
        <v>20</v>
      </c>
      <c r="D38" s="286">
        <v>73087.033750000002</v>
      </c>
      <c r="E38" s="287">
        <v>55890</v>
      </c>
      <c r="F38" s="287">
        <v>-17197.033750000002</v>
      </c>
      <c r="G38" s="133">
        <v>-0.23529527561378152</v>
      </c>
      <c r="H38" s="276">
        <v>96448.136608879999</v>
      </c>
      <c r="I38" s="275">
        <v>75709.092232399998</v>
      </c>
      <c r="J38" s="287">
        <v>-20739.04437648</v>
      </c>
      <c r="K38" s="133">
        <v>-0.21502794253643001</v>
      </c>
      <c r="L38" s="103"/>
      <c r="M38" s="103"/>
    </row>
    <row r="39" spans="1:13" ht="15" customHeight="1" x14ac:dyDescent="0.25">
      <c r="A39" s="15">
        <v>114</v>
      </c>
      <c r="B39" s="56" t="s">
        <v>65</v>
      </c>
      <c r="C39" s="285">
        <v>8</v>
      </c>
      <c r="D39" s="286">
        <v>85862.362920524232</v>
      </c>
      <c r="E39" s="287">
        <v>73380</v>
      </c>
      <c r="F39" s="287">
        <v>-12482.362920524232</v>
      </c>
      <c r="G39" s="133">
        <v>-0.1453764198415799</v>
      </c>
      <c r="H39" s="276">
        <v>105378.40566454393</v>
      </c>
      <c r="I39" s="275">
        <v>95414.395920800001</v>
      </c>
      <c r="J39" s="287">
        <v>-9964.0097437439254</v>
      </c>
      <c r="K39" s="133">
        <v>-9.4554569134997449E-2</v>
      </c>
      <c r="L39" s="103"/>
      <c r="M39" s="103"/>
    </row>
    <row r="40" spans="1:13" ht="15" customHeight="1" x14ac:dyDescent="0.25">
      <c r="A40" s="103"/>
      <c r="B40" s="62" t="s">
        <v>680</v>
      </c>
      <c r="C40" s="63"/>
      <c r="D40" s="124">
        <v>68699.923372123172</v>
      </c>
      <c r="E40" s="124">
        <v>52094.400000000001</v>
      </c>
      <c r="F40" s="124">
        <v>-16605.523372123171</v>
      </c>
      <c r="G40" s="125">
        <v>-0.24171094459853948</v>
      </c>
      <c r="H40" s="126">
        <v>89578.147726520983</v>
      </c>
      <c r="I40" s="127">
        <v>71432.737133503993</v>
      </c>
      <c r="J40" s="124">
        <v>-18145.41059301699</v>
      </c>
      <c r="K40" s="125">
        <v>-0.2025651462275633</v>
      </c>
      <c r="L40" s="103"/>
      <c r="M40" s="103"/>
    </row>
    <row r="41" spans="1:13" ht="15" customHeight="1" x14ac:dyDescent="0.25">
      <c r="A41" s="103"/>
      <c r="B41" s="103"/>
      <c r="C41" s="103"/>
      <c r="D41" s="103"/>
      <c r="E41" s="103"/>
      <c r="F41" s="103"/>
      <c r="G41" s="103"/>
      <c r="H41" s="103"/>
      <c r="I41" s="103"/>
      <c r="J41" s="103"/>
      <c r="K41" s="103"/>
      <c r="L41" s="103"/>
      <c r="M41" s="103"/>
    </row>
    <row r="42" spans="1:13" ht="15" customHeight="1" x14ac:dyDescent="0.25">
      <c r="A42" s="103"/>
      <c r="B42" s="110" t="s">
        <v>50</v>
      </c>
      <c r="C42" s="533" t="s">
        <v>765</v>
      </c>
      <c r="D42" s="534"/>
      <c r="E42" s="534"/>
      <c r="F42" s="535"/>
      <c r="G42" s="534"/>
      <c r="H42" s="303" t="s">
        <v>435</v>
      </c>
      <c r="I42" s="303"/>
      <c r="J42" s="303"/>
      <c r="K42" s="305"/>
      <c r="L42" s="103"/>
      <c r="M42" s="103"/>
    </row>
    <row r="43" spans="1:13" ht="47.25" x14ac:dyDescent="0.25">
      <c r="A43" s="103"/>
      <c r="B43" s="111" t="s">
        <v>679</v>
      </c>
      <c r="C43" s="113" t="s">
        <v>764</v>
      </c>
      <c r="D43" s="112" t="s">
        <v>763</v>
      </c>
      <c r="E43" s="130" t="s">
        <v>762</v>
      </c>
      <c r="F43" s="130" t="s">
        <v>761</v>
      </c>
      <c r="G43" s="130" t="s">
        <v>736</v>
      </c>
      <c r="H43" s="131" t="s">
        <v>760</v>
      </c>
      <c r="I43" s="130" t="s">
        <v>759</v>
      </c>
      <c r="J43" s="130" t="s">
        <v>758</v>
      </c>
      <c r="K43" s="132" t="s">
        <v>737</v>
      </c>
      <c r="L43" s="103"/>
      <c r="M43" s="103"/>
    </row>
    <row r="44" spans="1:13" ht="15" customHeight="1" x14ac:dyDescent="0.25">
      <c r="A44" s="15">
        <v>200</v>
      </c>
      <c r="B44" s="56" t="s">
        <v>66</v>
      </c>
      <c r="C44" s="285">
        <v>7</v>
      </c>
      <c r="D44" s="286">
        <v>70899.754880914799</v>
      </c>
      <c r="E44" s="287">
        <v>51636</v>
      </c>
      <c r="F44" s="287">
        <v>-19263.754880914799</v>
      </c>
      <c r="G44" s="133">
        <v>-0.27170411115342696</v>
      </c>
      <c r="H44" s="276">
        <v>93369.935043291262</v>
      </c>
      <c r="I44" s="275">
        <v>70916.275657759994</v>
      </c>
      <c r="J44" s="287">
        <v>-22453.659385531268</v>
      </c>
      <c r="K44" s="133">
        <v>-0.24048061482660943</v>
      </c>
      <c r="L44" s="103"/>
      <c r="M44" s="103"/>
    </row>
    <row r="45" spans="1:13" ht="15" customHeight="1" x14ac:dyDescent="0.25">
      <c r="A45" s="15">
        <v>201</v>
      </c>
      <c r="B45" s="56" t="s">
        <v>67</v>
      </c>
      <c r="C45" s="285">
        <v>9</v>
      </c>
      <c r="D45" s="286">
        <v>65027.421953421195</v>
      </c>
      <c r="E45" s="287">
        <v>40938</v>
      </c>
      <c r="F45" s="287">
        <v>-24089.421953421195</v>
      </c>
      <c r="G45" s="133">
        <v>-0.37045020746288115</v>
      </c>
      <c r="H45" s="276">
        <v>90237.000730971617</v>
      </c>
      <c r="I45" s="275">
        <v>58863.254568080003</v>
      </c>
      <c r="J45" s="287">
        <v>-31373.746162891613</v>
      </c>
      <c r="K45" s="133">
        <v>-0.34768161517721358</v>
      </c>
      <c r="L45" s="103"/>
      <c r="M45" s="103"/>
    </row>
    <row r="46" spans="1:13" ht="15" customHeight="1" x14ac:dyDescent="0.25">
      <c r="A46" s="15">
        <v>202</v>
      </c>
      <c r="B46" s="56" t="s">
        <v>68</v>
      </c>
      <c r="C46" s="285">
        <v>10</v>
      </c>
      <c r="D46" s="286">
        <v>48093.908161073021</v>
      </c>
      <c r="E46" s="287">
        <v>37392</v>
      </c>
      <c r="F46" s="287">
        <v>-10701.908161073021</v>
      </c>
      <c r="G46" s="133">
        <v>-0.22252107533517299</v>
      </c>
      <c r="H46" s="276">
        <v>66036.627344654713</v>
      </c>
      <c r="I46" s="275">
        <v>54868.114094720004</v>
      </c>
      <c r="J46" s="287">
        <v>-11168.513249934709</v>
      </c>
      <c r="K46" s="133">
        <v>-0.16912603957868141</v>
      </c>
      <c r="L46" s="103"/>
      <c r="M46" s="103"/>
    </row>
    <row r="47" spans="1:13" ht="15" customHeight="1" x14ac:dyDescent="0.25">
      <c r="A47" s="15">
        <v>203</v>
      </c>
      <c r="B47" s="56" t="s">
        <v>69</v>
      </c>
      <c r="C47" s="285">
        <v>8</v>
      </c>
      <c r="D47" s="286">
        <v>80503.029767103362</v>
      </c>
      <c r="E47" s="287">
        <v>82992</v>
      </c>
      <c r="F47" s="287">
        <v>2488.9702328966378</v>
      </c>
      <c r="G47" s="133">
        <v>3.0917721234806579E-2</v>
      </c>
      <c r="H47" s="276">
        <v>102296.75968358296</v>
      </c>
      <c r="I47" s="275">
        <v>106243.86299071999</v>
      </c>
      <c r="J47" s="287">
        <v>3947.103307137033</v>
      </c>
      <c r="K47" s="133">
        <v>3.8584832201390654E-2</v>
      </c>
      <c r="L47" s="103"/>
      <c r="M47" s="103"/>
    </row>
    <row r="48" spans="1:13" ht="15" customHeight="1" x14ac:dyDescent="0.25">
      <c r="A48" s="15">
        <v>204</v>
      </c>
      <c r="B48" s="56" t="s">
        <v>70</v>
      </c>
      <c r="C48" s="285">
        <v>12</v>
      </c>
      <c r="D48" s="286">
        <v>62374.067849014798</v>
      </c>
      <c r="E48" s="287">
        <v>49560</v>
      </c>
      <c r="F48" s="287">
        <v>-12814.067849014798</v>
      </c>
      <c r="G48" s="133">
        <v>-0.20543902764259422</v>
      </c>
      <c r="H48" s="276">
        <v>83348.683195603197</v>
      </c>
      <c r="I48" s="275">
        <v>68577.327089600003</v>
      </c>
      <c r="J48" s="287">
        <v>-14771.356106003193</v>
      </c>
      <c r="K48" s="133">
        <v>-0.17722362897249</v>
      </c>
      <c r="L48" s="103"/>
      <c r="M48" s="103"/>
    </row>
    <row r="49" spans="1:35" ht="15" customHeight="1" x14ac:dyDescent="0.25">
      <c r="A49" s="15">
        <v>205</v>
      </c>
      <c r="B49" s="56" t="s">
        <v>71</v>
      </c>
      <c r="C49" s="285">
        <v>19</v>
      </c>
      <c r="D49" s="286">
        <v>49449.54</v>
      </c>
      <c r="E49" s="287">
        <v>40938</v>
      </c>
      <c r="F49" s="287">
        <v>-8511.5400000000009</v>
      </c>
      <c r="G49" s="133">
        <v>-0.17212576699399026</v>
      </c>
      <c r="H49" s="276">
        <v>69513.597223363831</v>
      </c>
      <c r="I49" s="275">
        <v>58863.254568080003</v>
      </c>
      <c r="J49" s="287">
        <v>-10650.342655283828</v>
      </c>
      <c r="K49" s="133">
        <v>-0.15321236536014282</v>
      </c>
      <c r="L49" s="103"/>
      <c r="M49" s="103"/>
    </row>
    <row r="50" spans="1:35" ht="15" customHeight="1" x14ac:dyDescent="0.25">
      <c r="A50" s="15">
        <v>206</v>
      </c>
      <c r="B50" s="56" t="s">
        <v>72</v>
      </c>
      <c r="C50" s="285">
        <v>5</v>
      </c>
      <c r="D50" s="286">
        <v>48750.582969432318</v>
      </c>
      <c r="E50" s="287">
        <v>49560</v>
      </c>
      <c r="F50" s="287">
        <v>809.41703056768165</v>
      </c>
      <c r="G50" s="133">
        <v>1.660322772089113E-2</v>
      </c>
      <c r="H50" s="276">
        <v>68889.206747028045</v>
      </c>
      <c r="I50" s="275">
        <v>68577.327089600003</v>
      </c>
      <c r="J50" s="287">
        <v>-311.87965742804226</v>
      </c>
      <c r="K50" s="133">
        <v>-4.5272644606478519E-3</v>
      </c>
      <c r="L50" s="103"/>
      <c r="M50" s="103"/>
    </row>
    <row r="51" spans="1:35" ht="15" customHeight="1" x14ac:dyDescent="0.25">
      <c r="A51" s="15">
        <v>207</v>
      </c>
      <c r="B51" s="56" t="s">
        <v>73</v>
      </c>
      <c r="C51" s="285">
        <v>7</v>
      </c>
      <c r="D51" s="286">
        <v>70667.796078431376</v>
      </c>
      <c r="E51" s="287">
        <v>52008</v>
      </c>
      <c r="F51" s="287">
        <v>-18659.796078431376</v>
      </c>
      <c r="G51" s="133">
        <v>-0.2640494979880455</v>
      </c>
      <c r="H51" s="276">
        <v>92588.93296440586</v>
      </c>
      <c r="I51" s="275">
        <v>71335.39360928</v>
      </c>
      <c r="J51" s="287">
        <v>-21253.53935512586</v>
      </c>
      <c r="K51" s="133">
        <v>-0.22954729765917486</v>
      </c>
      <c r="L51" s="103"/>
      <c r="M51" s="103"/>
    </row>
    <row r="52" spans="1:35" ht="15" customHeight="1" x14ac:dyDescent="0.25">
      <c r="A52" s="15">
        <v>208</v>
      </c>
      <c r="B52" s="56" t="s">
        <v>74</v>
      </c>
      <c r="C52" s="285">
        <v>1</v>
      </c>
      <c r="D52" s="286" t="s">
        <v>684</v>
      </c>
      <c r="E52" s="287" t="s">
        <v>684</v>
      </c>
      <c r="F52" s="287" t="s">
        <v>484</v>
      </c>
      <c r="G52" s="133" t="s">
        <v>484</v>
      </c>
      <c r="H52" s="276" t="s">
        <v>684</v>
      </c>
      <c r="I52" s="275" t="s">
        <v>684</v>
      </c>
      <c r="J52" s="287" t="s">
        <v>484</v>
      </c>
      <c r="K52" s="133" t="s">
        <v>484</v>
      </c>
      <c r="L52" s="103"/>
      <c r="M52" s="103"/>
      <c r="AC52" s="343" t="s">
        <v>655</v>
      </c>
      <c r="AD52" s="343" t="s">
        <v>656</v>
      </c>
      <c r="AE52" s="343" t="s">
        <v>657</v>
      </c>
      <c r="AF52" s="343" t="s">
        <v>658</v>
      </c>
    </row>
    <row r="53" spans="1:35" s="14" customFormat="1" ht="23.25" x14ac:dyDescent="0.25">
      <c r="A53" s="103"/>
      <c r="B53" s="62" t="s">
        <v>680</v>
      </c>
      <c r="C53" s="63"/>
      <c r="D53" s="124">
        <v>61970.762707423848</v>
      </c>
      <c r="E53" s="124">
        <v>50628</v>
      </c>
      <c r="F53" s="124">
        <v>-11342.762707423848</v>
      </c>
      <c r="G53" s="125">
        <v>-0.18303409885360392</v>
      </c>
      <c r="H53" s="126">
        <v>83285.092866612686</v>
      </c>
      <c r="I53" s="127">
        <v>69780.601208480002</v>
      </c>
      <c r="J53" s="124">
        <v>-13504.491658132683</v>
      </c>
      <c r="K53" s="125">
        <v>-0.16214776490387228</v>
      </c>
      <c r="L53" s="103"/>
      <c r="M53" s="103"/>
      <c r="N53" s="143"/>
      <c r="O53" s="143"/>
      <c r="P53" s="143"/>
      <c r="Q53" s="143"/>
      <c r="R53" s="143"/>
      <c r="S53" s="143"/>
      <c r="T53" s="143"/>
      <c r="U53" s="143"/>
      <c r="V53" s="143"/>
      <c r="W53" s="543" t="s">
        <v>659</v>
      </c>
      <c r="X53" s="543"/>
      <c r="Y53" s="543"/>
      <c r="Z53" s="543"/>
      <c r="AA53" s="543"/>
      <c r="AB53" s="543"/>
      <c r="AC53" s="145">
        <v>0.19</v>
      </c>
      <c r="AD53" s="145">
        <v>0.15</v>
      </c>
      <c r="AE53" s="145">
        <v>0.12</v>
      </c>
      <c r="AF53" s="145">
        <v>0.15</v>
      </c>
      <c r="AG53" s="143"/>
      <c r="AH53" s="143"/>
      <c r="AI53" s="143"/>
    </row>
    <row r="54" spans="1:35" ht="15" customHeight="1" x14ac:dyDescent="0.25">
      <c r="A54" s="103"/>
      <c r="L54" s="103"/>
      <c r="M54" s="103"/>
      <c r="W54" s="544" t="s">
        <v>660</v>
      </c>
      <c r="X54" s="544"/>
      <c r="Y54" s="544"/>
      <c r="Z54" s="544"/>
      <c r="AA54" s="544"/>
      <c r="AB54" s="544"/>
      <c r="AC54" s="145">
        <v>0.28000000000000003</v>
      </c>
      <c r="AD54" s="145">
        <v>0.28999999999999998</v>
      </c>
      <c r="AE54" s="145">
        <v>0.35</v>
      </c>
      <c r="AF54" s="145">
        <v>0.15</v>
      </c>
    </row>
    <row r="55" spans="1:35" ht="31.5" x14ac:dyDescent="0.25">
      <c r="A55" s="103"/>
      <c r="B55" s="110" t="s">
        <v>239</v>
      </c>
      <c r="C55" s="533" t="s">
        <v>765</v>
      </c>
      <c r="D55" s="534"/>
      <c r="E55" s="534"/>
      <c r="F55" s="535"/>
      <c r="G55" s="534"/>
      <c r="H55" s="303" t="s">
        <v>435</v>
      </c>
      <c r="I55" s="303"/>
      <c r="J55" s="303"/>
      <c r="K55" s="305"/>
      <c r="L55" s="103"/>
      <c r="M55" s="103"/>
      <c r="N55" s="143" t="s">
        <v>786</v>
      </c>
      <c r="O55" s="143" t="s">
        <v>785</v>
      </c>
      <c r="P55" s="143" t="s">
        <v>784</v>
      </c>
      <c r="Q55" s="143" t="s">
        <v>654</v>
      </c>
      <c r="W55" s="544" t="s">
        <v>661</v>
      </c>
      <c r="X55" s="544"/>
      <c r="Y55" s="544"/>
      <c r="Z55" s="544"/>
      <c r="AA55" s="544"/>
      <c r="AB55" s="544"/>
      <c r="AC55" s="145">
        <v>0.22</v>
      </c>
      <c r="AD55" s="145">
        <v>0.19</v>
      </c>
      <c r="AE55" s="145">
        <v>0.18</v>
      </c>
      <c r="AF55" s="145">
        <v>0.15</v>
      </c>
    </row>
    <row r="56" spans="1:35" ht="47.25" x14ac:dyDescent="0.25">
      <c r="B56" s="111" t="s">
        <v>679</v>
      </c>
      <c r="C56" s="113" t="s">
        <v>764</v>
      </c>
      <c r="D56" s="112" t="s">
        <v>763</v>
      </c>
      <c r="E56" s="130" t="s">
        <v>762</v>
      </c>
      <c r="F56" s="130" t="s">
        <v>761</v>
      </c>
      <c r="G56" s="130" t="s">
        <v>736</v>
      </c>
      <c r="H56" s="131" t="s">
        <v>760</v>
      </c>
      <c r="I56" s="130" t="s">
        <v>759</v>
      </c>
      <c r="J56" s="130" t="s">
        <v>758</v>
      </c>
      <c r="K56" s="132" t="s">
        <v>737</v>
      </c>
      <c r="N56" s="137" t="s">
        <v>783</v>
      </c>
      <c r="O56" s="342">
        <v>30</v>
      </c>
      <c r="P56" s="342">
        <v>52</v>
      </c>
      <c r="Q56" s="341">
        <v>-0.5</v>
      </c>
    </row>
    <row r="57" spans="1:35" ht="15" customHeight="1" x14ac:dyDescent="0.25">
      <c r="A57" s="15">
        <v>300</v>
      </c>
      <c r="B57" s="56" t="s">
        <v>75</v>
      </c>
      <c r="C57" s="285">
        <v>19</v>
      </c>
      <c r="D57" s="286">
        <v>71801.100000000006</v>
      </c>
      <c r="E57" s="287">
        <v>49560</v>
      </c>
      <c r="F57" s="287">
        <v>-22241.100000000006</v>
      </c>
      <c r="G57" s="133">
        <v>-0.30975987833055491</v>
      </c>
      <c r="H57" s="276">
        <v>93656.903685199999</v>
      </c>
      <c r="I57" s="275">
        <v>68577.327089600003</v>
      </c>
      <c r="J57" s="287">
        <v>-25079.576595599996</v>
      </c>
      <c r="K57" s="133">
        <v>-0.26778139794048261</v>
      </c>
      <c r="N57" s="137" t="s">
        <v>652</v>
      </c>
      <c r="O57" s="342">
        <v>137</v>
      </c>
      <c r="P57" s="342">
        <v>115</v>
      </c>
      <c r="Q57" s="341">
        <v>-0.25</v>
      </c>
    </row>
    <row r="58" spans="1:35" ht="15" customHeight="1" x14ac:dyDescent="0.25">
      <c r="A58" s="15">
        <v>301</v>
      </c>
      <c r="B58" s="56" t="s">
        <v>76</v>
      </c>
      <c r="C58" s="285">
        <v>13</v>
      </c>
      <c r="D58" s="286">
        <v>68427.504749999993</v>
      </c>
      <c r="E58" s="287">
        <v>53304</v>
      </c>
      <c r="F58" s="287">
        <v>-15123.504749999993</v>
      </c>
      <c r="G58" s="133">
        <v>-0.2210149968971358</v>
      </c>
      <c r="H58" s="276">
        <v>90446.805700395838</v>
      </c>
      <c r="I58" s="275">
        <v>72795.546472639995</v>
      </c>
      <c r="J58" s="287">
        <v>-17651.259227755843</v>
      </c>
      <c r="K58" s="133">
        <v>-0.19515624781957991</v>
      </c>
      <c r="N58" s="137" t="s">
        <v>653</v>
      </c>
      <c r="O58" s="342">
        <v>14</v>
      </c>
      <c r="P58" s="342">
        <v>14</v>
      </c>
      <c r="Q58" s="341">
        <v>0</v>
      </c>
    </row>
    <row r="59" spans="1:35" ht="15" customHeight="1" x14ac:dyDescent="0.25">
      <c r="A59" s="15">
        <v>302</v>
      </c>
      <c r="B59" s="56" t="s">
        <v>77</v>
      </c>
      <c r="C59" s="285">
        <v>2</v>
      </c>
      <c r="D59" s="286" t="s">
        <v>684</v>
      </c>
      <c r="E59" s="287" t="s">
        <v>684</v>
      </c>
      <c r="F59" s="287" t="s">
        <v>484</v>
      </c>
      <c r="G59" s="133" t="s">
        <v>484</v>
      </c>
      <c r="H59" s="276" t="s">
        <v>684</v>
      </c>
      <c r="I59" s="275" t="s">
        <v>684</v>
      </c>
      <c r="J59" s="287" t="s">
        <v>484</v>
      </c>
      <c r="K59" s="133" t="s">
        <v>484</v>
      </c>
      <c r="N59" s="137" t="s">
        <v>782</v>
      </c>
      <c r="O59" s="342">
        <v>0</v>
      </c>
      <c r="P59" s="342">
        <v>0</v>
      </c>
      <c r="Q59" s="341">
        <v>0.25</v>
      </c>
    </row>
    <row r="60" spans="1:35" ht="15" customHeight="1" x14ac:dyDescent="0.25">
      <c r="A60" s="15">
        <v>303</v>
      </c>
      <c r="B60" s="56" t="s">
        <v>78</v>
      </c>
      <c r="C60" s="285">
        <v>15</v>
      </c>
      <c r="D60" s="286">
        <v>81785.050783609899</v>
      </c>
      <c r="E60" s="287">
        <v>49560</v>
      </c>
      <c r="F60" s="287">
        <v>-32225.050783609899</v>
      </c>
      <c r="G60" s="133">
        <v>-0.39402128475621057</v>
      </c>
      <c r="H60" s="276">
        <v>104038.2050896978</v>
      </c>
      <c r="I60" s="275">
        <v>68577.327089600003</v>
      </c>
      <c r="J60" s="287">
        <v>-35460.8780000978</v>
      </c>
      <c r="K60" s="133">
        <v>-0.34084476918382794</v>
      </c>
      <c r="N60" s="137" t="s">
        <v>654</v>
      </c>
      <c r="Q60" s="341">
        <v>0.5</v>
      </c>
    </row>
    <row r="61" spans="1:35" ht="15" customHeight="1" x14ac:dyDescent="0.25">
      <c r="A61" s="15">
        <v>304</v>
      </c>
      <c r="B61" s="56" t="s">
        <v>79</v>
      </c>
      <c r="C61" s="285">
        <v>4</v>
      </c>
      <c r="D61" s="286" t="s">
        <v>684</v>
      </c>
      <c r="E61" s="287" t="s">
        <v>684</v>
      </c>
      <c r="F61" s="287" t="s">
        <v>484</v>
      </c>
      <c r="G61" s="133" t="s">
        <v>484</v>
      </c>
      <c r="H61" s="276" t="s">
        <v>684</v>
      </c>
      <c r="I61" s="275" t="s">
        <v>684</v>
      </c>
      <c r="J61" s="287" t="s">
        <v>484</v>
      </c>
      <c r="K61" s="133" t="s">
        <v>484</v>
      </c>
    </row>
    <row r="62" spans="1:35" ht="15" customHeight="1" x14ac:dyDescent="0.25">
      <c r="B62" s="62" t="s">
        <v>680</v>
      </c>
      <c r="C62" s="63"/>
      <c r="D62" s="124">
        <v>74004.551844536632</v>
      </c>
      <c r="E62" s="124">
        <v>50808</v>
      </c>
      <c r="F62" s="124">
        <v>-23196.551844536632</v>
      </c>
      <c r="G62" s="125">
        <v>-0.31344763621116517</v>
      </c>
      <c r="H62" s="126">
        <v>96047.30482509789</v>
      </c>
      <c r="I62" s="127">
        <v>69983.400217279996</v>
      </c>
      <c r="J62" s="124">
        <v>-26063.904607817894</v>
      </c>
      <c r="K62" s="125">
        <v>-0.27136528875308114</v>
      </c>
    </row>
    <row r="63" spans="1:35" ht="15" customHeight="1" x14ac:dyDescent="0.25"/>
    <row r="64" spans="1:35" ht="15" customHeight="1" x14ac:dyDescent="0.25">
      <c r="B64" s="110" t="s">
        <v>4</v>
      </c>
      <c r="C64" s="533" t="s">
        <v>765</v>
      </c>
      <c r="D64" s="534"/>
      <c r="E64" s="534"/>
      <c r="F64" s="535"/>
      <c r="G64" s="534"/>
      <c r="H64" s="303" t="s">
        <v>435</v>
      </c>
      <c r="I64" s="303"/>
      <c r="J64" s="303"/>
      <c r="K64" s="305"/>
    </row>
    <row r="65" spans="1:35" ht="47.25" x14ac:dyDescent="0.25">
      <c r="B65" s="111" t="s">
        <v>679</v>
      </c>
      <c r="C65" s="113" t="s">
        <v>764</v>
      </c>
      <c r="D65" s="112" t="s">
        <v>763</v>
      </c>
      <c r="E65" s="130" t="s">
        <v>762</v>
      </c>
      <c r="F65" s="130" t="s">
        <v>761</v>
      </c>
      <c r="G65" s="130" t="s">
        <v>736</v>
      </c>
      <c r="H65" s="131" t="s">
        <v>760</v>
      </c>
      <c r="I65" s="130" t="s">
        <v>759</v>
      </c>
      <c r="J65" s="130" t="s">
        <v>758</v>
      </c>
      <c r="K65" s="132" t="s">
        <v>737</v>
      </c>
    </row>
    <row r="66" spans="1:35" ht="15" customHeight="1" x14ac:dyDescent="0.25">
      <c r="A66" s="15">
        <v>400</v>
      </c>
      <c r="B66" s="56" t="s">
        <v>80</v>
      </c>
      <c r="C66" s="285">
        <v>14</v>
      </c>
      <c r="D66" s="286">
        <v>67581.7</v>
      </c>
      <c r="E66" s="287">
        <v>56976</v>
      </c>
      <c r="F66" s="287">
        <v>-10605.699999999997</v>
      </c>
      <c r="G66" s="133">
        <v>-0.15693153619988839</v>
      </c>
      <c r="H66" s="276">
        <v>87568.150988754496</v>
      </c>
      <c r="I66" s="275">
        <v>76932.646252160004</v>
      </c>
      <c r="J66" s="287">
        <v>-10635.504736594492</v>
      </c>
      <c r="K66" s="133">
        <v>-0.12145402885074397</v>
      </c>
    </row>
    <row r="67" spans="1:35" ht="15" customHeight="1" x14ac:dyDescent="0.25">
      <c r="A67" s="15">
        <v>401</v>
      </c>
      <c r="B67" s="56" t="s">
        <v>81</v>
      </c>
      <c r="C67" s="285">
        <v>23</v>
      </c>
      <c r="D67" s="286">
        <v>109841</v>
      </c>
      <c r="E67" s="287">
        <v>75150</v>
      </c>
      <c r="F67" s="287">
        <v>-34691</v>
      </c>
      <c r="G67" s="133">
        <v>-0.31582924408918345</v>
      </c>
      <c r="H67" s="276">
        <v>137284.855309632</v>
      </c>
      <c r="I67" s="275">
        <v>97408.586173999996</v>
      </c>
      <c r="J67" s="287">
        <v>-39876.269135631999</v>
      </c>
      <c r="K67" s="133">
        <v>-0.29046371535807891</v>
      </c>
    </row>
    <row r="68" spans="1:35" ht="15" customHeight="1" x14ac:dyDescent="0.25">
      <c r="A68" s="15">
        <v>402</v>
      </c>
      <c r="B68" s="56" t="s">
        <v>82</v>
      </c>
      <c r="C68" s="285">
        <v>16</v>
      </c>
      <c r="D68" s="286">
        <v>95444.013749999998</v>
      </c>
      <c r="E68" s="287">
        <v>63258</v>
      </c>
      <c r="F68" s="287">
        <v>-32186.013749999998</v>
      </c>
      <c r="G68" s="133">
        <v>-0.33722401736274421</v>
      </c>
      <c r="H68" s="276">
        <v>120085.57115539076</v>
      </c>
      <c r="I68" s="275">
        <v>84010.331659279997</v>
      </c>
      <c r="J68" s="287">
        <v>-36075.239496110764</v>
      </c>
      <c r="K68" s="133">
        <v>-0.30041277356652113</v>
      </c>
    </row>
    <row r="69" spans="1:35" ht="15" customHeight="1" x14ac:dyDescent="0.25">
      <c r="A69" s="15">
        <v>403</v>
      </c>
      <c r="B69" s="56" t="s">
        <v>83</v>
      </c>
      <c r="C69" s="285">
        <v>14</v>
      </c>
      <c r="D69" s="286">
        <v>73465.39414092782</v>
      </c>
      <c r="E69" s="287">
        <v>52770</v>
      </c>
      <c r="F69" s="287">
        <v>-20695.39414092782</v>
      </c>
      <c r="G69" s="133">
        <v>-0.28170262179806838</v>
      </c>
      <c r="H69" s="276">
        <v>94839.1919770682</v>
      </c>
      <c r="I69" s="275">
        <v>72193.909413200003</v>
      </c>
      <c r="J69" s="287">
        <v>-22645.282563868197</v>
      </c>
      <c r="K69" s="133">
        <v>-0.23877557465213065</v>
      </c>
    </row>
    <row r="70" spans="1:35" ht="15" customHeight="1" x14ac:dyDescent="0.25">
      <c r="A70" s="15">
        <v>404</v>
      </c>
      <c r="B70" s="56" t="s">
        <v>84</v>
      </c>
      <c r="C70" s="285">
        <v>14</v>
      </c>
      <c r="D70" s="286">
        <v>68829.995999999999</v>
      </c>
      <c r="E70" s="287">
        <v>52770</v>
      </c>
      <c r="F70" s="287">
        <v>-16059.995999999999</v>
      </c>
      <c r="G70" s="133">
        <v>-0.23332844592930094</v>
      </c>
      <c r="H70" s="276">
        <v>89781.352512301979</v>
      </c>
      <c r="I70" s="275">
        <v>72193.909413200003</v>
      </c>
      <c r="J70" s="287">
        <v>-17587.443099101976</v>
      </c>
      <c r="K70" s="133">
        <v>-0.19589193754562917</v>
      </c>
    </row>
    <row r="71" spans="1:35" ht="15" customHeight="1" x14ac:dyDescent="0.25">
      <c r="A71" s="15">
        <v>406</v>
      </c>
      <c r="B71" s="56" t="s">
        <v>85</v>
      </c>
      <c r="C71" s="285">
        <v>22</v>
      </c>
      <c r="D71" s="286">
        <v>81732.600000000006</v>
      </c>
      <c r="E71" s="287">
        <v>64344</v>
      </c>
      <c r="F71" s="287">
        <v>-17388.600000000006</v>
      </c>
      <c r="G71" s="133">
        <v>-0.21274986969703649</v>
      </c>
      <c r="H71" s="276">
        <v>105061.86625890181</v>
      </c>
      <c r="I71" s="275">
        <v>85233.885679040002</v>
      </c>
      <c r="J71" s="287">
        <v>-19827.980579861804</v>
      </c>
      <c r="K71" s="133">
        <v>-0.18872671204031458</v>
      </c>
    </row>
    <row r="72" spans="1:35" ht="15" customHeight="1" x14ac:dyDescent="0.25">
      <c r="A72" s="15">
        <v>407</v>
      </c>
      <c r="B72" s="56" t="s">
        <v>86</v>
      </c>
      <c r="C72" s="285">
        <v>15</v>
      </c>
      <c r="D72" s="286">
        <v>77007.66</v>
      </c>
      <c r="E72" s="287">
        <v>64344</v>
      </c>
      <c r="F72" s="287">
        <v>-12663.660000000003</v>
      </c>
      <c r="G72" s="133">
        <v>-0.16444675763424058</v>
      </c>
      <c r="H72" s="276">
        <v>98584.053599380597</v>
      </c>
      <c r="I72" s="275">
        <v>85233.885679040002</v>
      </c>
      <c r="J72" s="287">
        <v>-13350.167920340595</v>
      </c>
      <c r="K72" s="133">
        <v>-0.13541914166556926</v>
      </c>
    </row>
    <row r="73" spans="1:35" ht="15" customHeight="1" x14ac:dyDescent="0.25">
      <c r="A73" s="15">
        <v>408</v>
      </c>
      <c r="B73" s="56" t="s">
        <v>87</v>
      </c>
      <c r="C73" s="285">
        <v>13</v>
      </c>
      <c r="D73" s="286">
        <v>75700</v>
      </c>
      <c r="E73" s="287">
        <v>58266</v>
      </c>
      <c r="F73" s="287">
        <v>-17434</v>
      </c>
      <c r="G73" s="133">
        <v>-0.23030383091149273</v>
      </c>
      <c r="H73" s="276">
        <v>98172.03556083201</v>
      </c>
      <c r="I73" s="275">
        <v>78386.039148559998</v>
      </c>
      <c r="J73" s="287">
        <v>-19785.996412272012</v>
      </c>
      <c r="K73" s="133">
        <v>-0.20154411894629279</v>
      </c>
    </row>
    <row r="74" spans="1:35" ht="15" customHeight="1" x14ac:dyDescent="0.25">
      <c r="A74" s="15">
        <v>409</v>
      </c>
      <c r="B74" s="56" t="s">
        <v>88</v>
      </c>
      <c r="C74" s="285">
        <v>24</v>
      </c>
      <c r="D74" s="286">
        <v>69098.399999999994</v>
      </c>
      <c r="E74" s="287">
        <v>59658</v>
      </c>
      <c r="F74" s="287">
        <v>-9440.3999999999942</v>
      </c>
      <c r="G74" s="133">
        <v>-0.1366225556597547</v>
      </c>
      <c r="H74" s="276">
        <v>91913.772812069787</v>
      </c>
      <c r="I74" s="275">
        <v>79954.351483279999</v>
      </c>
      <c r="J74" s="287">
        <v>-11959.421328789787</v>
      </c>
      <c r="K74" s="133">
        <v>-0.13011566126485147</v>
      </c>
    </row>
    <row r="75" spans="1:35" ht="15" customHeight="1" x14ac:dyDescent="0.25">
      <c r="A75" s="15">
        <v>410</v>
      </c>
      <c r="B75" s="56" t="s">
        <v>89</v>
      </c>
      <c r="C75" s="285">
        <v>11</v>
      </c>
      <c r="D75" s="286">
        <v>70336.747228558961</v>
      </c>
      <c r="E75" s="287">
        <v>58266</v>
      </c>
      <c r="F75" s="287">
        <v>-12070.747228558961</v>
      </c>
      <c r="G75" s="133">
        <v>-0.17161366858969351</v>
      </c>
      <c r="H75" s="276">
        <v>92015.155700864358</v>
      </c>
      <c r="I75" s="275">
        <v>78386.039148559998</v>
      </c>
      <c r="J75" s="287">
        <v>-13629.11655230436</v>
      </c>
      <c r="K75" s="133">
        <v>-0.14811817084363563</v>
      </c>
    </row>
    <row r="76" spans="1:35" ht="15" customHeight="1" x14ac:dyDescent="0.25">
      <c r="A76" s="15">
        <v>411</v>
      </c>
      <c r="B76" s="56" t="s">
        <v>90</v>
      </c>
      <c r="C76" s="285">
        <v>20</v>
      </c>
      <c r="D76" s="286">
        <v>74424</v>
      </c>
      <c r="E76" s="287">
        <v>56838</v>
      </c>
      <c r="F76" s="287">
        <v>-17586</v>
      </c>
      <c r="G76" s="133">
        <v>-0.23629474363108674</v>
      </c>
      <c r="H76" s="276">
        <v>95398.520666152006</v>
      </c>
      <c r="I76" s="275">
        <v>76777.167012079997</v>
      </c>
      <c r="J76" s="287">
        <v>-18621.353654072009</v>
      </c>
      <c r="K76" s="133">
        <v>-0.19519541313683056</v>
      </c>
    </row>
    <row r="77" spans="1:35" ht="15" customHeight="1" x14ac:dyDescent="0.25">
      <c r="A77" s="15">
        <v>412</v>
      </c>
      <c r="B77" s="56" t="s">
        <v>781</v>
      </c>
      <c r="C77" s="285">
        <v>15</v>
      </c>
      <c r="D77" s="286">
        <v>87715.674965686281</v>
      </c>
      <c r="E77" s="287">
        <v>91032</v>
      </c>
      <c r="F77" s="287">
        <v>3316.3250343137188</v>
      </c>
      <c r="G77" s="133">
        <v>3.7807667051653428E-2</v>
      </c>
      <c r="H77" s="276">
        <v>112743.59885316927</v>
      </c>
      <c r="I77" s="275">
        <v>115302.21871712001</v>
      </c>
      <c r="J77" s="287">
        <v>2558.6198639507347</v>
      </c>
      <c r="K77" s="133">
        <v>2.2694147516817632E-2</v>
      </c>
    </row>
    <row r="78" spans="1:35" s="14" customFormat="1" ht="15" customHeight="1" x14ac:dyDescent="0.25">
      <c r="B78" s="62" t="s">
        <v>680</v>
      </c>
      <c r="C78" s="63"/>
      <c r="D78" s="124">
        <v>79264.765507097763</v>
      </c>
      <c r="E78" s="124">
        <v>62806</v>
      </c>
      <c r="F78" s="124">
        <v>-16458.765507097763</v>
      </c>
      <c r="G78" s="125">
        <v>-0.20764289658592333</v>
      </c>
      <c r="H78" s="126">
        <v>101954.01044954312</v>
      </c>
      <c r="I78" s="127">
        <v>83501.080814959991</v>
      </c>
      <c r="J78" s="124">
        <v>-18452.929634583124</v>
      </c>
      <c r="K78" s="125">
        <v>-0.18099268045679726</v>
      </c>
      <c r="N78" s="143"/>
      <c r="O78" s="143"/>
      <c r="P78" s="143"/>
      <c r="Q78" s="143"/>
      <c r="R78" s="143"/>
      <c r="S78" s="143"/>
      <c r="T78" s="143"/>
      <c r="U78" s="143"/>
      <c r="V78" s="143"/>
      <c r="W78" s="143"/>
      <c r="X78" s="143"/>
      <c r="Y78" s="143"/>
      <c r="Z78" s="143"/>
      <c r="AA78" s="143"/>
      <c r="AB78" s="143"/>
      <c r="AC78" s="143"/>
      <c r="AD78" s="143"/>
      <c r="AE78" s="143"/>
      <c r="AF78" s="143"/>
      <c r="AG78" s="143"/>
      <c r="AH78" s="143"/>
      <c r="AI78" s="143"/>
    </row>
    <row r="79" spans="1:35" ht="15" customHeight="1" x14ac:dyDescent="0.25">
      <c r="C79" s="262"/>
      <c r="D79" s="263"/>
      <c r="E79" s="263"/>
      <c r="F79" s="263"/>
      <c r="G79" s="263"/>
      <c r="H79" s="307"/>
      <c r="I79" s="307"/>
      <c r="J79" s="307"/>
      <c r="K79" s="307"/>
    </row>
    <row r="80" spans="1:35" ht="15" customHeight="1" x14ac:dyDescent="0.25">
      <c r="B80" s="110" t="s">
        <v>681</v>
      </c>
      <c r="C80" s="533" t="s">
        <v>765</v>
      </c>
      <c r="D80" s="534"/>
      <c r="E80" s="534"/>
      <c r="F80" s="535"/>
      <c r="G80" s="534"/>
      <c r="H80" s="303" t="s">
        <v>435</v>
      </c>
      <c r="I80" s="303"/>
      <c r="J80" s="303"/>
      <c r="K80" s="305"/>
    </row>
    <row r="81" spans="1:35" ht="47.25" x14ac:dyDescent="0.25">
      <c r="B81" s="111" t="s">
        <v>679</v>
      </c>
      <c r="C81" s="113" t="s">
        <v>764</v>
      </c>
      <c r="D81" s="112" t="s">
        <v>763</v>
      </c>
      <c r="E81" s="130" t="s">
        <v>762</v>
      </c>
      <c r="F81" s="130" t="s">
        <v>761</v>
      </c>
      <c r="G81" s="130" t="s">
        <v>736</v>
      </c>
      <c r="H81" s="131" t="s">
        <v>760</v>
      </c>
      <c r="I81" s="130" t="s">
        <v>759</v>
      </c>
      <c r="J81" s="130" t="s">
        <v>758</v>
      </c>
      <c r="K81" s="132" t="s">
        <v>737</v>
      </c>
    </row>
    <row r="82" spans="1:35" ht="15" customHeight="1" x14ac:dyDescent="0.25">
      <c r="A82" s="15">
        <v>500</v>
      </c>
      <c r="B82" s="56" t="s">
        <v>91</v>
      </c>
      <c r="C82" s="285">
        <v>7</v>
      </c>
      <c r="D82" s="286">
        <v>71237.8067987744</v>
      </c>
      <c r="E82" s="287">
        <v>77082</v>
      </c>
      <c r="F82" s="287">
        <v>5844.1932012256002</v>
      </c>
      <c r="G82" s="133">
        <v>8.2037803574353529E-2</v>
      </c>
      <c r="H82" s="276">
        <v>92114.028941910918</v>
      </c>
      <c r="I82" s="275">
        <v>99585.295535120007</v>
      </c>
      <c r="J82" s="287">
        <v>7471.2665932090895</v>
      </c>
      <c r="K82" s="133">
        <v>8.1108889482194191E-2</v>
      </c>
    </row>
    <row r="83" spans="1:35" ht="15" customHeight="1" x14ac:dyDescent="0.25">
      <c r="A83" s="15">
        <v>501</v>
      </c>
      <c r="B83" s="56" t="s">
        <v>92</v>
      </c>
      <c r="C83" s="285">
        <v>9</v>
      </c>
      <c r="D83" s="286">
        <v>48355.664847760891</v>
      </c>
      <c r="E83" s="287">
        <v>46074</v>
      </c>
      <c r="F83" s="287">
        <v>-2281.6648477608906</v>
      </c>
      <c r="G83" s="133">
        <v>-4.7185057943972063E-2</v>
      </c>
      <c r="H83" s="276">
        <v>67529.499948129509</v>
      </c>
      <c r="I83" s="275">
        <v>64649.786285840004</v>
      </c>
      <c r="J83" s="287">
        <v>-2879.713662289505</v>
      </c>
      <c r="K83" s="133">
        <v>-4.2643787744636924E-2</v>
      </c>
    </row>
    <row r="84" spans="1:35" ht="15" customHeight="1" x14ac:dyDescent="0.25">
      <c r="A84" s="15">
        <v>502</v>
      </c>
      <c r="B84" s="56" t="s">
        <v>93</v>
      </c>
      <c r="C84" s="285">
        <v>8</v>
      </c>
      <c r="D84" s="286">
        <v>57702.210121159078</v>
      </c>
      <c r="E84" s="287">
        <v>49560</v>
      </c>
      <c r="F84" s="287">
        <v>-8142.210121159078</v>
      </c>
      <c r="G84" s="133">
        <v>-0.14110742212581862</v>
      </c>
      <c r="H84" s="276">
        <v>75664.087575159079</v>
      </c>
      <c r="I84" s="275">
        <v>68577.327089600003</v>
      </c>
      <c r="J84" s="287">
        <v>-7086.7604855590762</v>
      </c>
      <c r="K84" s="133">
        <v>-9.3660819983054908E-2</v>
      </c>
    </row>
    <row r="85" spans="1:35" ht="15" customHeight="1" x14ac:dyDescent="0.25">
      <c r="A85" s="15">
        <v>503</v>
      </c>
      <c r="B85" s="56" t="s">
        <v>94</v>
      </c>
      <c r="C85" s="285">
        <v>10</v>
      </c>
      <c r="D85" s="286">
        <v>66075.991525423728</v>
      </c>
      <c r="E85" s="287">
        <v>55890</v>
      </c>
      <c r="F85" s="287">
        <v>-10185.991525423728</v>
      </c>
      <c r="G85" s="133">
        <v>-0.15415571208650747</v>
      </c>
      <c r="H85" s="276">
        <v>84389.051656076976</v>
      </c>
      <c r="I85" s="275">
        <v>75709.092232399998</v>
      </c>
      <c r="J85" s="287">
        <v>-8679.9594236769772</v>
      </c>
      <c r="K85" s="133">
        <v>-0.10285646364473537</v>
      </c>
    </row>
    <row r="86" spans="1:35" ht="15" customHeight="1" x14ac:dyDescent="0.25">
      <c r="A86" s="15">
        <v>505</v>
      </c>
      <c r="B86" s="56" t="s">
        <v>95</v>
      </c>
      <c r="C86" s="285">
        <v>13</v>
      </c>
      <c r="D86" s="286">
        <v>80285.2</v>
      </c>
      <c r="E86" s="287">
        <v>57306</v>
      </c>
      <c r="F86" s="287">
        <v>-22979.199999999997</v>
      </c>
      <c r="G86" s="133">
        <v>-0.28621962702963932</v>
      </c>
      <c r="H86" s="276">
        <v>101901.36768190283</v>
      </c>
      <c r="I86" s="275">
        <v>77304.444434959994</v>
      </c>
      <c r="J86" s="287">
        <v>-24596.923246942839</v>
      </c>
      <c r="K86" s="133">
        <v>-0.24137971654831014</v>
      </c>
    </row>
    <row r="87" spans="1:35" s="14" customFormat="1" ht="15" customHeight="1" x14ac:dyDescent="0.25">
      <c r="B87" s="62" t="s">
        <v>680</v>
      </c>
      <c r="C87" s="63"/>
      <c r="D87" s="124">
        <v>64731.374658623616</v>
      </c>
      <c r="E87" s="124">
        <v>57182.400000000001</v>
      </c>
      <c r="F87" s="124">
        <v>-7548.9746586236142</v>
      </c>
      <c r="G87" s="125">
        <v>-0.11662002697200449</v>
      </c>
      <c r="H87" s="126">
        <v>84319.60716063586</v>
      </c>
      <c r="I87" s="127">
        <v>77165.189115584013</v>
      </c>
      <c r="J87" s="124">
        <v>-7154.418045051847</v>
      </c>
      <c r="K87" s="125">
        <v>-8.4848806653262582E-2</v>
      </c>
      <c r="N87" s="143"/>
      <c r="O87" s="143"/>
      <c r="P87" s="143"/>
      <c r="Q87" s="143"/>
      <c r="R87" s="143"/>
      <c r="S87" s="143"/>
      <c r="T87" s="143"/>
      <c r="U87" s="143"/>
      <c r="V87" s="143"/>
      <c r="W87" s="143"/>
      <c r="X87" s="143"/>
      <c r="Y87" s="143"/>
      <c r="Z87" s="143"/>
      <c r="AA87" s="143"/>
      <c r="AB87" s="143"/>
      <c r="AC87" s="143"/>
      <c r="AD87" s="143"/>
      <c r="AE87" s="143"/>
      <c r="AF87" s="143"/>
      <c r="AG87" s="143"/>
      <c r="AH87" s="143"/>
      <c r="AI87" s="143"/>
    </row>
    <row r="88" spans="1:35" ht="15" customHeight="1" x14ac:dyDescent="0.25"/>
    <row r="89" spans="1:35" ht="15" customHeight="1" x14ac:dyDescent="0.25">
      <c r="B89" s="110" t="s">
        <v>5</v>
      </c>
      <c r="C89" s="533" t="s">
        <v>765</v>
      </c>
      <c r="D89" s="534"/>
      <c r="E89" s="534"/>
      <c r="F89" s="535"/>
      <c r="G89" s="534"/>
      <c r="H89" s="303" t="s">
        <v>435</v>
      </c>
      <c r="I89" s="303"/>
      <c r="J89" s="303"/>
      <c r="K89" s="305"/>
    </row>
    <row r="90" spans="1:35" ht="47.25" x14ac:dyDescent="0.25">
      <c r="B90" s="111" t="s">
        <v>679</v>
      </c>
      <c r="C90" s="113" t="s">
        <v>764</v>
      </c>
      <c r="D90" s="112" t="s">
        <v>763</v>
      </c>
      <c r="E90" s="130" t="s">
        <v>762</v>
      </c>
      <c r="F90" s="130" t="s">
        <v>761</v>
      </c>
      <c r="G90" s="130" t="s">
        <v>736</v>
      </c>
      <c r="H90" s="131" t="s">
        <v>760</v>
      </c>
      <c r="I90" s="130" t="s">
        <v>759</v>
      </c>
      <c r="J90" s="130" t="s">
        <v>758</v>
      </c>
      <c r="K90" s="132" t="s">
        <v>737</v>
      </c>
    </row>
    <row r="91" spans="1:35" ht="15" customHeight="1" x14ac:dyDescent="0.25">
      <c r="A91" s="15">
        <v>600</v>
      </c>
      <c r="B91" s="56" t="s">
        <v>96</v>
      </c>
      <c r="C91" s="285">
        <v>15</v>
      </c>
      <c r="D91" s="286">
        <v>107261.51359623962</v>
      </c>
      <c r="E91" s="287">
        <v>123198</v>
      </c>
      <c r="F91" s="287">
        <v>15936.486403760384</v>
      </c>
      <c r="G91" s="133">
        <v>0.14857599775954575</v>
      </c>
      <c r="H91" s="276">
        <v>132380.76722787568</v>
      </c>
      <c r="I91" s="275">
        <v>151542.40158968</v>
      </c>
      <c r="J91" s="287">
        <v>19161.634361804317</v>
      </c>
      <c r="K91" s="133">
        <v>0.14474636129597393</v>
      </c>
    </row>
    <row r="92" spans="1:35" ht="15" customHeight="1" x14ac:dyDescent="0.25">
      <c r="A92" s="15">
        <v>601</v>
      </c>
      <c r="B92" s="56" t="s">
        <v>97</v>
      </c>
      <c r="C92" s="285">
        <v>5</v>
      </c>
      <c r="D92" s="286">
        <v>89154.209708737879</v>
      </c>
      <c r="E92" s="287">
        <v>80970</v>
      </c>
      <c r="F92" s="287">
        <v>-8184.2097087378788</v>
      </c>
      <c r="G92" s="133">
        <v>-9.1798354059502763E-2</v>
      </c>
      <c r="H92" s="276">
        <v>115091.3589850045</v>
      </c>
      <c r="I92" s="275">
        <v>103965.75412520001</v>
      </c>
      <c r="J92" s="287">
        <v>-11125.604859804487</v>
      </c>
      <c r="K92" s="133">
        <v>-9.6667594838758197E-2</v>
      </c>
    </row>
    <row r="93" spans="1:35" ht="15" customHeight="1" x14ac:dyDescent="0.25">
      <c r="A93" s="15">
        <v>602</v>
      </c>
      <c r="B93" s="56" t="s">
        <v>98</v>
      </c>
      <c r="C93" s="285">
        <v>6</v>
      </c>
      <c r="D93" s="286">
        <v>121554.35566244199</v>
      </c>
      <c r="E93" s="287">
        <v>98676</v>
      </c>
      <c r="F93" s="287">
        <v>-22878.355662441987</v>
      </c>
      <c r="G93" s="133">
        <v>-0.18821502148368485</v>
      </c>
      <c r="H93" s="276">
        <v>150086.65767770074</v>
      </c>
      <c r="I93" s="275">
        <v>123914.41662416</v>
      </c>
      <c r="J93" s="287">
        <v>-26172.24105354074</v>
      </c>
      <c r="K93" s="133">
        <v>-0.17438086408549094</v>
      </c>
    </row>
    <row r="94" spans="1:35" ht="15" customHeight="1" x14ac:dyDescent="0.25">
      <c r="A94" s="15">
        <v>603</v>
      </c>
      <c r="B94" s="56" t="s">
        <v>99</v>
      </c>
      <c r="C94" s="285">
        <v>25</v>
      </c>
      <c r="D94" s="286">
        <v>86190.5</v>
      </c>
      <c r="E94" s="287">
        <v>64800</v>
      </c>
      <c r="F94" s="287">
        <v>-21390.5</v>
      </c>
      <c r="G94" s="133">
        <v>-0.24817700326602118</v>
      </c>
      <c r="H94" s="276">
        <v>110048.30998016</v>
      </c>
      <c r="I94" s="275">
        <v>85747.643167999995</v>
      </c>
      <c r="J94" s="287">
        <v>-24300.666812160009</v>
      </c>
      <c r="K94" s="133">
        <v>-0.22081817355069824</v>
      </c>
    </row>
    <row r="95" spans="1:35" ht="15" customHeight="1" x14ac:dyDescent="0.25">
      <c r="A95" s="15">
        <v>604</v>
      </c>
      <c r="B95" s="56" t="s">
        <v>100</v>
      </c>
      <c r="C95" s="285">
        <v>30</v>
      </c>
      <c r="D95" s="286">
        <v>91148.691957359901</v>
      </c>
      <c r="E95" s="287">
        <v>60228</v>
      </c>
      <c r="F95" s="287">
        <v>-30920.691957359901</v>
      </c>
      <c r="G95" s="133">
        <v>-0.33923352374409116</v>
      </c>
      <c r="H95" s="276">
        <v>116918.1460040393</v>
      </c>
      <c r="I95" s="275">
        <v>80596.548344480005</v>
      </c>
      <c r="J95" s="287">
        <v>-36321.597659559295</v>
      </c>
      <c r="K95" s="133">
        <v>-0.31065834432838552</v>
      </c>
    </row>
    <row r="96" spans="1:35" ht="15" customHeight="1" x14ac:dyDescent="0.25">
      <c r="A96" s="15">
        <v>605</v>
      </c>
      <c r="B96" s="56" t="s">
        <v>101</v>
      </c>
      <c r="C96" s="285">
        <v>28</v>
      </c>
      <c r="D96" s="286">
        <v>56617.5</v>
      </c>
      <c r="E96" s="287">
        <v>40938</v>
      </c>
      <c r="F96" s="287">
        <v>-15679.5</v>
      </c>
      <c r="G96" s="133">
        <v>-0.27693734269439663</v>
      </c>
      <c r="H96" s="276">
        <v>76993.268030599997</v>
      </c>
      <c r="I96" s="275">
        <v>58863.254568080003</v>
      </c>
      <c r="J96" s="287">
        <v>-18130.013462519993</v>
      </c>
      <c r="K96" s="133">
        <v>-0.23547530746862763</v>
      </c>
    </row>
    <row r="97" spans="1:35" ht="15" customHeight="1" x14ac:dyDescent="0.25">
      <c r="A97" s="15">
        <v>606</v>
      </c>
      <c r="B97" s="56" t="s">
        <v>102</v>
      </c>
      <c r="C97" s="285">
        <v>14</v>
      </c>
      <c r="D97" s="286">
        <v>45434</v>
      </c>
      <c r="E97" s="287">
        <v>39030</v>
      </c>
      <c r="F97" s="287">
        <v>-6404</v>
      </c>
      <c r="G97" s="133">
        <v>-0.14095171017299821</v>
      </c>
      <c r="H97" s="276">
        <v>64308.769284007976</v>
      </c>
      <c r="I97" s="275">
        <v>56713.585074800001</v>
      </c>
      <c r="J97" s="287">
        <v>-7595.1842092079751</v>
      </c>
      <c r="K97" s="133">
        <v>-0.1181049535509726</v>
      </c>
    </row>
    <row r="98" spans="1:35" ht="15" customHeight="1" x14ac:dyDescent="0.25">
      <c r="A98" s="15">
        <v>607</v>
      </c>
      <c r="B98" s="56" t="s">
        <v>103</v>
      </c>
      <c r="C98" s="285">
        <v>30</v>
      </c>
      <c r="D98" s="286">
        <v>81261.051379912809</v>
      </c>
      <c r="E98" s="287">
        <v>49560</v>
      </c>
      <c r="F98" s="287">
        <v>-31701.051379912809</v>
      </c>
      <c r="G98" s="133">
        <v>-0.39011372412231793</v>
      </c>
      <c r="H98" s="276">
        <v>104798.88523980652</v>
      </c>
      <c r="I98" s="275">
        <v>68577.327089600003</v>
      </c>
      <c r="J98" s="287">
        <v>-36221.558150206518</v>
      </c>
      <c r="K98" s="133">
        <v>-0.34562923133506979</v>
      </c>
    </row>
    <row r="99" spans="1:35" ht="15" customHeight="1" x14ac:dyDescent="0.25">
      <c r="A99" s="15">
        <v>608</v>
      </c>
      <c r="B99" s="56" t="s">
        <v>104</v>
      </c>
      <c r="C99" s="285">
        <v>12</v>
      </c>
      <c r="D99" s="286">
        <v>86279.11305145669</v>
      </c>
      <c r="E99" s="287">
        <v>57306</v>
      </c>
      <c r="F99" s="287">
        <v>-28973.11305145669</v>
      </c>
      <c r="G99" s="133">
        <v>-0.33580680221152925</v>
      </c>
      <c r="H99" s="276">
        <v>109370.38061475178</v>
      </c>
      <c r="I99" s="275">
        <v>77304.444434959994</v>
      </c>
      <c r="J99" s="287">
        <v>-32065.936179791781</v>
      </c>
      <c r="K99" s="133">
        <v>-0.29318665620028717</v>
      </c>
    </row>
    <row r="100" spans="1:35" ht="15" customHeight="1" x14ac:dyDescent="0.25">
      <c r="A100" s="15">
        <v>609</v>
      </c>
      <c r="B100" s="56" t="s">
        <v>105</v>
      </c>
      <c r="C100" s="285">
        <v>22</v>
      </c>
      <c r="D100" s="286">
        <v>97492.429824561405</v>
      </c>
      <c r="E100" s="287">
        <v>89364</v>
      </c>
      <c r="F100" s="287">
        <v>-8128.4298245614045</v>
      </c>
      <c r="G100" s="133">
        <v>-8.3374984490473716E-2</v>
      </c>
      <c r="H100" s="276">
        <v>123917.37716437651</v>
      </c>
      <c r="I100" s="275">
        <v>113422.94790224</v>
      </c>
      <c r="J100" s="287">
        <v>-10494.429262136502</v>
      </c>
      <c r="K100" s="133">
        <v>-8.4688923396237098E-2</v>
      </c>
    </row>
    <row r="101" spans="1:35" ht="15" customHeight="1" x14ac:dyDescent="0.25">
      <c r="A101" s="15">
        <v>610</v>
      </c>
      <c r="B101" s="56" t="s">
        <v>106</v>
      </c>
      <c r="C101" s="285">
        <v>12</v>
      </c>
      <c r="D101" s="286">
        <v>69132.510732984301</v>
      </c>
      <c r="E101" s="287">
        <v>58734</v>
      </c>
      <c r="F101" s="287">
        <v>-10398.510732984301</v>
      </c>
      <c r="G101" s="133">
        <v>-0.15041419185753649</v>
      </c>
      <c r="H101" s="276">
        <v>90957.052597586997</v>
      </c>
      <c r="I101" s="275">
        <v>78913.316571439995</v>
      </c>
      <c r="J101" s="287">
        <v>-12043.736026147002</v>
      </c>
      <c r="K101" s="133">
        <v>-0.13241123895505943</v>
      </c>
    </row>
    <row r="102" spans="1:35" ht="15" customHeight="1" x14ac:dyDescent="0.25">
      <c r="A102" s="15">
        <v>611</v>
      </c>
      <c r="B102" s="56" t="s">
        <v>107</v>
      </c>
      <c r="C102" s="285">
        <v>16</v>
      </c>
      <c r="D102" s="286">
        <v>58449.352378057803</v>
      </c>
      <c r="E102" s="287">
        <v>47238</v>
      </c>
      <c r="F102" s="287">
        <v>-11211.352378057803</v>
      </c>
      <c r="G102" s="133">
        <v>-0.19181311549085023</v>
      </c>
      <c r="H102" s="276">
        <v>79680.339042429478</v>
      </c>
      <c r="I102" s="275">
        <v>65961.219876079995</v>
      </c>
      <c r="J102" s="287">
        <v>-13719.119166349483</v>
      </c>
      <c r="K102" s="133">
        <v>-0.17217696775918717</v>
      </c>
    </row>
    <row r="103" spans="1:35" ht="15" customHeight="1" x14ac:dyDescent="0.25">
      <c r="A103" s="15">
        <v>612</v>
      </c>
      <c r="B103" s="56" t="s">
        <v>108</v>
      </c>
      <c r="C103" s="285">
        <v>17</v>
      </c>
      <c r="D103" s="286">
        <v>62625.349583341187</v>
      </c>
      <c r="E103" s="287">
        <v>60228</v>
      </c>
      <c r="F103" s="287">
        <v>-2397.3495833411871</v>
      </c>
      <c r="G103" s="133">
        <v>-3.8280817580919342E-2</v>
      </c>
      <c r="H103" s="276">
        <v>82884.845732263406</v>
      </c>
      <c r="I103" s="275">
        <v>80596.548344480005</v>
      </c>
      <c r="J103" s="287">
        <v>-2288.2973877834011</v>
      </c>
      <c r="K103" s="133">
        <v>-2.7608151617668608E-2</v>
      </c>
    </row>
    <row r="104" spans="1:35" ht="15" customHeight="1" x14ac:dyDescent="0.25">
      <c r="A104" s="15">
        <v>613</v>
      </c>
      <c r="B104" s="56" t="s">
        <v>109</v>
      </c>
      <c r="C104" s="285">
        <v>13</v>
      </c>
      <c r="D104" s="286">
        <v>73368.800889877632</v>
      </c>
      <c r="E104" s="287">
        <v>63258</v>
      </c>
      <c r="F104" s="287">
        <v>-10110.800889877632</v>
      </c>
      <c r="G104" s="133">
        <v>-0.13780790700196074</v>
      </c>
      <c r="H104" s="276">
        <v>95930.461052570754</v>
      </c>
      <c r="I104" s="275">
        <v>84010.331659279997</v>
      </c>
      <c r="J104" s="287">
        <v>-11920.129393290757</v>
      </c>
      <c r="K104" s="133">
        <v>-0.1242580225561349</v>
      </c>
    </row>
    <row r="105" spans="1:35" s="14" customFormat="1" ht="15" customHeight="1" x14ac:dyDescent="0.25">
      <c r="B105" s="62" t="s">
        <v>680</v>
      </c>
      <c r="C105" s="63"/>
      <c r="D105" s="124">
        <v>80426.38419749793</v>
      </c>
      <c r="E105" s="124">
        <v>66680.571428571435</v>
      </c>
      <c r="F105" s="124">
        <v>-13745.812768926495</v>
      </c>
      <c r="G105" s="125">
        <v>-0.17091173383067654</v>
      </c>
      <c r="H105" s="126">
        <v>103811.90133094098</v>
      </c>
      <c r="I105" s="127">
        <v>87866.409955177136</v>
      </c>
      <c r="J105" s="124">
        <v>-15945.491375763842</v>
      </c>
      <c r="K105" s="125">
        <v>-0.15359983943393313</v>
      </c>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row>
    <row r="106" spans="1:35" ht="15" customHeight="1" x14ac:dyDescent="0.25"/>
    <row r="107" spans="1:35" ht="15" customHeight="1" x14ac:dyDescent="0.25">
      <c r="B107" s="110" t="s">
        <v>6</v>
      </c>
      <c r="C107" s="533" t="s">
        <v>765</v>
      </c>
      <c r="D107" s="534"/>
      <c r="E107" s="534"/>
      <c r="F107" s="535"/>
      <c r="G107" s="534"/>
      <c r="H107" s="303" t="s">
        <v>435</v>
      </c>
      <c r="I107" s="303"/>
      <c r="J107" s="303"/>
      <c r="K107" s="305"/>
    </row>
    <row r="108" spans="1:35" ht="47.25" x14ac:dyDescent="0.25">
      <c r="B108" s="111" t="s">
        <v>679</v>
      </c>
      <c r="C108" s="113" t="s">
        <v>764</v>
      </c>
      <c r="D108" s="112" t="s">
        <v>763</v>
      </c>
      <c r="E108" s="130" t="s">
        <v>762</v>
      </c>
      <c r="F108" s="130" t="s">
        <v>761</v>
      </c>
      <c r="G108" s="130" t="s">
        <v>736</v>
      </c>
      <c r="H108" s="131" t="s">
        <v>760</v>
      </c>
      <c r="I108" s="130" t="s">
        <v>759</v>
      </c>
      <c r="J108" s="130" t="s">
        <v>758</v>
      </c>
      <c r="K108" s="132" t="s">
        <v>737</v>
      </c>
    </row>
    <row r="109" spans="1:35" ht="15" customHeight="1" x14ac:dyDescent="0.25">
      <c r="A109" s="15">
        <v>700</v>
      </c>
      <c r="B109" s="56" t="s">
        <v>110</v>
      </c>
      <c r="C109" s="285">
        <v>17</v>
      </c>
      <c r="D109" s="286">
        <v>72179.498350877198</v>
      </c>
      <c r="E109" s="287">
        <v>63258</v>
      </c>
      <c r="F109" s="287">
        <v>-8921.4983508771984</v>
      </c>
      <c r="G109" s="133">
        <v>-0.1236015566014082</v>
      </c>
      <c r="H109" s="276">
        <v>93179.180728102277</v>
      </c>
      <c r="I109" s="275">
        <v>84010.331659279997</v>
      </c>
      <c r="J109" s="287">
        <v>-9168.849068822281</v>
      </c>
      <c r="K109" s="133">
        <v>-9.8400189797515691E-2</v>
      </c>
    </row>
    <row r="110" spans="1:35" ht="15" customHeight="1" x14ac:dyDescent="0.25">
      <c r="A110" s="15">
        <v>701</v>
      </c>
      <c r="B110" s="56" t="s">
        <v>111</v>
      </c>
      <c r="C110" s="285">
        <v>15</v>
      </c>
      <c r="D110" s="286">
        <v>61509.686685936489</v>
      </c>
      <c r="E110" s="287">
        <v>60228</v>
      </c>
      <c r="F110" s="287">
        <v>-1281.6866859364891</v>
      </c>
      <c r="G110" s="133">
        <v>-2.083715191853729E-2</v>
      </c>
      <c r="H110" s="276">
        <v>81670.52778545364</v>
      </c>
      <c r="I110" s="275">
        <v>80596.548344480005</v>
      </c>
      <c r="J110" s="287">
        <v>-1073.9794409736351</v>
      </c>
      <c r="K110" s="133">
        <v>-1.3150146939113106E-2</v>
      </c>
    </row>
    <row r="111" spans="1:35" ht="15" customHeight="1" x14ac:dyDescent="0.25">
      <c r="A111" s="15">
        <v>703</v>
      </c>
      <c r="B111" s="56" t="s">
        <v>112</v>
      </c>
      <c r="C111" s="285">
        <v>14</v>
      </c>
      <c r="D111" s="286">
        <v>78589.018245514133</v>
      </c>
      <c r="E111" s="287">
        <v>69864</v>
      </c>
      <c r="F111" s="287">
        <v>-8725.018245514133</v>
      </c>
      <c r="G111" s="133">
        <v>-0.11102083268500632</v>
      </c>
      <c r="H111" s="276">
        <v>101007.94491753147</v>
      </c>
      <c r="I111" s="275">
        <v>91453.055282240006</v>
      </c>
      <c r="J111" s="287">
        <v>-9554.8896352914599</v>
      </c>
      <c r="K111" s="133">
        <v>-9.4595426558698986E-2</v>
      </c>
    </row>
    <row r="112" spans="1:35" ht="15" customHeight="1" x14ac:dyDescent="0.25">
      <c r="A112" s="15">
        <v>704</v>
      </c>
      <c r="B112" s="56" t="s">
        <v>113</v>
      </c>
      <c r="C112" s="285">
        <v>10</v>
      </c>
      <c r="D112" s="286">
        <v>85430.317023637181</v>
      </c>
      <c r="E112" s="287">
        <v>58734</v>
      </c>
      <c r="F112" s="287">
        <v>-26696.317023637181</v>
      </c>
      <c r="G112" s="133">
        <v>-0.31249230898032071</v>
      </c>
      <c r="H112" s="276">
        <v>106358.77820305993</v>
      </c>
      <c r="I112" s="275">
        <v>78913.316571439995</v>
      </c>
      <c r="J112" s="287">
        <v>-27445.461631619939</v>
      </c>
      <c r="K112" s="133">
        <v>-0.2580460409127785</v>
      </c>
    </row>
    <row r="113" spans="1:11" ht="15" customHeight="1" x14ac:dyDescent="0.25">
      <c r="A113" s="15">
        <v>705</v>
      </c>
      <c r="B113" s="56" t="s">
        <v>114</v>
      </c>
      <c r="C113" s="285">
        <v>12</v>
      </c>
      <c r="D113" s="286">
        <v>81976.011705926649</v>
      </c>
      <c r="E113" s="287">
        <v>68112</v>
      </c>
      <c r="F113" s="287">
        <v>-13864.011705926649</v>
      </c>
      <c r="G113" s="133">
        <v>-0.16912278869654154</v>
      </c>
      <c r="H113" s="276">
        <v>104407.82410986235</v>
      </c>
      <c r="I113" s="275">
        <v>89479.144929920003</v>
      </c>
      <c r="J113" s="287">
        <v>-14928.679179942352</v>
      </c>
      <c r="K113" s="133">
        <v>-0.14298429554698661</v>
      </c>
    </row>
    <row r="114" spans="1:11" ht="15" customHeight="1" x14ac:dyDescent="0.25">
      <c r="A114" s="15">
        <v>706</v>
      </c>
      <c r="B114" s="56" t="s">
        <v>115</v>
      </c>
      <c r="C114" s="285">
        <v>10</v>
      </c>
      <c r="D114" s="286">
        <v>57736.835452668893</v>
      </c>
      <c r="E114" s="287">
        <v>55890</v>
      </c>
      <c r="F114" s="287">
        <v>-1846.8354526688927</v>
      </c>
      <c r="G114" s="133">
        <v>-3.198712638455703E-2</v>
      </c>
      <c r="H114" s="276">
        <v>78170.066617310455</v>
      </c>
      <c r="I114" s="275">
        <v>75709.092232399998</v>
      </c>
      <c r="J114" s="287">
        <v>-2460.9743849104561</v>
      </c>
      <c r="K114" s="133">
        <v>-3.1482311470430333E-2</v>
      </c>
    </row>
    <row r="115" spans="1:11" ht="15" customHeight="1" x14ac:dyDescent="0.25">
      <c r="A115" s="15">
        <v>707</v>
      </c>
      <c r="B115" s="56" t="s">
        <v>116</v>
      </c>
      <c r="C115" s="285">
        <v>13</v>
      </c>
      <c r="D115" s="286">
        <v>104381.72941973359</v>
      </c>
      <c r="E115" s="287">
        <v>93912</v>
      </c>
      <c r="F115" s="287">
        <v>-10469.729419733587</v>
      </c>
      <c r="G115" s="133">
        <v>-0.10030231801997967</v>
      </c>
      <c r="H115" s="276">
        <v>128613.56320424046</v>
      </c>
      <c r="I115" s="275">
        <v>118547.00285792</v>
      </c>
      <c r="J115" s="287">
        <v>-10066.560346320461</v>
      </c>
      <c r="K115" s="133">
        <v>-7.8269819259533274E-2</v>
      </c>
    </row>
    <row r="116" spans="1:11" ht="15" customHeight="1" x14ac:dyDescent="0.25">
      <c r="A116" s="15">
        <v>708</v>
      </c>
      <c r="B116" s="56" t="s">
        <v>117</v>
      </c>
      <c r="C116" s="285">
        <v>20</v>
      </c>
      <c r="D116" s="286">
        <v>74224.63158510717</v>
      </c>
      <c r="E116" s="287">
        <v>69864</v>
      </c>
      <c r="F116" s="287">
        <v>-4360.6315851071704</v>
      </c>
      <c r="G116" s="133">
        <v>-5.8749117267186422E-2</v>
      </c>
      <c r="H116" s="276">
        <v>96281.352642757076</v>
      </c>
      <c r="I116" s="275">
        <v>91453.055282240006</v>
      </c>
      <c r="J116" s="287">
        <v>-4828.29736051707</v>
      </c>
      <c r="K116" s="133">
        <v>-5.0147793191398282E-2</v>
      </c>
    </row>
    <row r="117" spans="1:11" ht="15" customHeight="1" x14ac:dyDescent="0.25">
      <c r="A117" s="15">
        <v>709</v>
      </c>
      <c r="B117" s="56" t="s">
        <v>118</v>
      </c>
      <c r="C117" s="285">
        <v>14</v>
      </c>
      <c r="D117" s="286">
        <v>73887.26063426405</v>
      </c>
      <c r="E117" s="287">
        <v>64800</v>
      </c>
      <c r="F117" s="287">
        <v>-9087.2606342640502</v>
      </c>
      <c r="G117" s="133">
        <v>-0.12298819250107611</v>
      </c>
      <c r="H117" s="276">
        <v>96324.375669450674</v>
      </c>
      <c r="I117" s="275">
        <v>85747.643167999995</v>
      </c>
      <c r="J117" s="287">
        <v>-10576.732501450679</v>
      </c>
      <c r="K117" s="133">
        <v>-0.10980328113151835</v>
      </c>
    </row>
    <row r="118" spans="1:11" ht="15" customHeight="1" x14ac:dyDescent="0.25">
      <c r="A118" s="15">
        <v>710</v>
      </c>
      <c r="B118" s="56" t="s">
        <v>119</v>
      </c>
      <c r="C118" s="285">
        <v>11</v>
      </c>
      <c r="D118" s="286">
        <v>49834.606310679614</v>
      </c>
      <c r="E118" s="287">
        <v>50766</v>
      </c>
      <c r="F118" s="287">
        <v>931.39368932038633</v>
      </c>
      <c r="G118" s="133">
        <v>1.8689696945008022E-2</v>
      </c>
      <c r="H118" s="276">
        <v>68823.832280885588</v>
      </c>
      <c r="I118" s="275">
        <v>69936.080448559995</v>
      </c>
      <c r="J118" s="287">
        <v>1112.2481676744064</v>
      </c>
      <c r="K118" s="133">
        <v>1.6160799694138955E-2</v>
      </c>
    </row>
    <row r="119" spans="1:11" ht="15" customHeight="1" x14ac:dyDescent="0.25">
      <c r="A119" s="15">
        <v>711</v>
      </c>
      <c r="B119" s="56" t="s">
        <v>120</v>
      </c>
      <c r="C119" s="285">
        <v>9</v>
      </c>
      <c r="D119" s="286">
        <v>72787.936403508778</v>
      </c>
      <c r="E119" s="287">
        <v>49560</v>
      </c>
      <c r="F119" s="287">
        <v>-23227.936403508778</v>
      </c>
      <c r="G119" s="133">
        <v>-0.31911794112065339</v>
      </c>
      <c r="H119" s="276">
        <v>92521.518459204148</v>
      </c>
      <c r="I119" s="275">
        <v>68577.327089600003</v>
      </c>
      <c r="J119" s="287">
        <v>-23944.191369604145</v>
      </c>
      <c r="K119" s="133">
        <v>-0.25879591870470592</v>
      </c>
    </row>
    <row r="120" spans="1:11" ht="15" customHeight="1" x14ac:dyDescent="0.25">
      <c r="A120" s="15">
        <v>712</v>
      </c>
      <c r="B120" s="56" t="s">
        <v>121</v>
      </c>
      <c r="C120" s="285">
        <v>5</v>
      </c>
      <c r="D120" s="286">
        <v>48817</v>
      </c>
      <c r="E120" s="287">
        <v>43914</v>
      </c>
      <c r="F120" s="287">
        <v>-4903</v>
      </c>
      <c r="G120" s="133">
        <v>-0.10043632341192617</v>
      </c>
      <c r="H120" s="276">
        <v>63509.68</v>
      </c>
      <c r="I120" s="275">
        <v>62216.198180239997</v>
      </c>
      <c r="J120" s="287">
        <v>-1293.4818197600034</v>
      </c>
      <c r="K120" s="133">
        <v>-2.036668772004525E-2</v>
      </c>
    </row>
    <row r="121" spans="1:11" ht="15" customHeight="1" x14ac:dyDescent="0.25">
      <c r="A121" s="15">
        <v>713</v>
      </c>
      <c r="B121" s="56" t="s">
        <v>122</v>
      </c>
      <c r="C121" s="285">
        <v>17</v>
      </c>
      <c r="D121" s="286">
        <v>75270.937792486584</v>
      </c>
      <c r="E121" s="287">
        <v>61710</v>
      </c>
      <c r="F121" s="287">
        <v>-13560.937792486584</v>
      </c>
      <c r="G121" s="133">
        <v>-0.18016166916735576</v>
      </c>
      <c r="H121" s="276">
        <v>97100.876052173262</v>
      </c>
      <c r="I121" s="275">
        <v>82266.260183599996</v>
      </c>
      <c r="J121" s="287">
        <v>-14834.615868573266</v>
      </c>
      <c r="K121" s="133">
        <v>-0.15277530411365681</v>
      </c>
    </row>
    <row r="122" spans="1:11" ht="15" customHeight="1" x14ac:dyDescent="0.25">
      <c r="A122" s="15">
        <v>714</v>
      </c>
      <c r="B122" s="56" t="s">
        <v>123</v>
      </c>
      <c r="C122" s="285">
        <v>8</v>
      </c>
      <c r="D122" s="286">
        <v>84123.087075660325</v>
      </c>
      <c r="E122" s="287">
        <v>64800</v>
      </c>
      <c r="F122" s="287">
        <v>-19323.087075660325</v>
      </c>
      <c r="G122" s="133">
        <v>-0.22970016611826355</v>
      </c>
      <c r="H122" s="276">
        <v>108862.63129193327</v>
      </c>
      <c r="I122" s="275">
        <v>85747.643167999995</v>
      </c>
      <c r="J122" s="287">
        <v>-23114.988123933275</v>
      </c>
      <c r="K122" s="133">
        <v>-0.21233170510040847</v>
      </c>
    </row>
    <row r="123" spans="1:11" ht="15" customHeight="1" x14ac:dyDescent="0.25">
      <c r="A123" s="15">
        <v>715</v>
      </c>
      <c r="B123" s="56" t="s">
        <v>124</v>
      </c>
      <c r="C123" s="285">
        <v>4</v>
      </c>
      <c r="D123" s="286" t="s">
        <v>684</v>
      </c>
      <c r="E123" s="287" t="s">
        <v>684</v>
      </c>
      <c r="F123" s="287" t="s">
        <v>484</v>
      </c>
      <c r="G123" s="133" t="s">
        <v>484</v>
      </c>
      <c r="H123" s="276" t="s">
        <v>684</v>
      </c>
      <c r="I123" s="275" t="s">
        <v>684</v>
      </c>
      <c r="J123" s="287" t="s">
        <v>484</v>
      </c>
      <c r="K123" s="133" t="s">
        <v>484</v>
      </c>
    </row>
    <row r="124" spans="1:11" ht="15" customHeight="1" x14ac:dyDescent="0.25">
      <c r="A124" s="15">
        <v>716</v>
      </c>
      <c r="B124" s="56" t="s">
        <v>125</v>
      </c>
      <c r="C124" s="285">
        <v>10</v>
      </c>
      <c r="D124" s="286">
        <v>92881.87000000001</v>
      </c>
      <c r="E124" s="287">
        <v>106386</v>
      </c>
      <c r="F124" s="287">
        <v>13504.12999999999</v>
      </c>
      <c r="G124" s="133">
        <v>0.14539037596895915</v>
      </c>
      <c r="H124" s="276">
        <v>115078.26171484383</v>
      </c>
      <c r="I124" s="275">
        <v>132600.97416776</v>
      </c>
      <c r="J124" s="287">
        <v>17522.712452916167</v>
      </c>
      <c r="K124" s="133">
        <v>0.15226778882302086</v>
      </c>
    </row>
    <row r="125" spans="1:11" ht="15" customHeight="1" x14ac:dyDescent="0.25">
      <c r="A125" s="15">
        <v>717</v>
      </c>
      <c r="B125" s="56" t="s">
        <v>126</v>
      </c>
      <c r="C125" s="285">
        <v>7</v>
      </c>
      <c r="D125" s="286">
        <v>70206.425000000003</v>
      </c>
      <c r="E125" s="287">
        <v>68112</v>
      </c>
      <c r="F125" s="287">
        <v>-2094.4250000000029</v>
      </c>
      <c r="G125" s="133">
        <v>-2.9832383574580287E-2</v>
      </c>
      <c r="H125" s="276">
        <v>85629.625</v>
      </c>
      <c r="I125" s="275">
        <v>89479.144929920003</v>
      </c>
      <c r="J125" s="287">
        <v>3849.5199299200031</v>
      </c>
      <c r="K125" s="133">
        <v>4.4955468740170278E-2</v>
      </c>
    </row>
    <row r="126" spans="1:11" ht="15" customHeight="1" x14ac:dyDescent="0.25">
      <c r="A126" s="15">
        <v>718</v>
      </c>
      <c r="B126" s="56" t="s">
        <v>127</v>
      </c>
      <c r="C126" s="285">
        <v>6</v>
      </c>
      <c r="D126" s="286">
        <v>69081.5</v>
      </c>
      <c r="E126" s="287">
        <v>49560</v>
      </c>
      <c r="F126" s="287">
        <v>-19521.5</v>
      </c>
      <c r="G126" s="133">
        <v>-0.28258651013657782</v>
      </c>
      <c r="H126" s="276">
        <v>83497.541289135901</v>
      </c>
      <c r="I126" s="275">
        <v>68577.327089600003</v>
      </c>
      <c r="J126" s="287">
        <v>-14920.214199535898</v>
      </c>
      <c r="K126" s="133">
        <v>-0.17869046164928462</v>
      </c>
    </row>
    <row r="127" spans="1:11" ht="15" customHeight="1" x14ac:dyDescent="0.25">
      <c r="A127" s="15">
        <v>719</v>
      </c>
      <c r="B127" s="56" t="s">
        <v>128</v>
      </c>
      <c r="C127" s="285">
        <v>20</v>
      </c>
      <c r="D127" s="286">
        <v>185468.04990419341</v>
      </c>
      <c r="E127" s="287">
        <v>150126</v>
      </c>
      <c r="F127" s="287">
        <v>-35342.049904193409</v>
      </c>
      <c r="G127" s="133">
        <v>-0.19055600100637241</v>
      </c>
      <c r="H127" s="276">
        <v>218489.3279898839</v>
      </c>
      <c r="I127" s="275">
        <v>181881.13330615999</v>
      </c>
      <c r="J127" s="287">
        <v>-36608.194683723908</v>
      </c>
      <c r="K127" s="133">
        <v>-0.16755140866843105</v>
      </c>
    </row>
    <row r="128" spans="1:11" ht="15" customHeight="1" x14ac:dyDescent="0.25">
      <c r="A128" s="15">
        <v>720</v>
      </c>
      <c r="B128" s="56" t="s">
        <v>129</v>
      </c>
      <c r="C128" s="285">
        <v>18</v>
      </c>
      <c r="D128" s="286">
        <v>248536.30477031803</v>
      </c>
      <c r="E128" s="287">
        <v>172356</v>
      </c>
      <c r="F128" s="287">
        <v>-76180.304770318035</v>
      </c>
      <c r="G128" s="133">
        <v>-0.30651580194981648</v>
      </c>
      <c r="H128" s="276">
        <v>292100.79424616636</v>
      </c>
      <c r="I128" s="275">
        <v>206926.81089296</v>
      </c>
      <c r="J128" s="287">
        <v>-85173.983353206364</v>
      </c>
      <c r="K128" s="133">
        <v>-0.29159107072275348</v>
      </c>
    </row>
    <row r="129" spans="1:11" ht="15" customHeight="1" x14ac:dyDescent="0.25">
      <c r="A129" s="15">
        <v>721</v>
      </c>
      <c r="B129" s="56" t="s">
        <v>130</v>
      </c>
      <c r="C129" s="285">
        <v>17</v>
      </c>
      <c r="D129" s="286">
        <v>240367.7576688054</v>
      </c>
      <c r="E129" s="287">
        <v>226152</v>
      </c>
      <c r="F129" s="287">
        <v>-14215.757668805396</v>
      </c>
      <c r="G129" s="133">
        <v>-5.9141699397108026E-2</v>
      </c>
      <c r="H129" s="276">
        <v>284330.47779527935</v>
      </c>
      <c r="I129" s="275">
        <v>267536.67465632001</v>
      </c>
      <c r="J129" s="287">
        <v>-16793.803138959338</v>
      </c>
      <c r="K129" s="133">
        <v>-5.9064379130861364E-2</v>
      </c>
    </row>
    <row r="130" spans="1:11" ht="15" customHeight="1" x14ac:dyDescent="0.25">
      <c r="A130" s="15">
        <v>722</v>
      </c>
      <c r="B130" s="56" t="s">
        <v>131</v>
      </c>
      <c r="C130" s="285">
        <v>6</v>
      </c>
      <c r="D130" s="286">
        <v>134138.72534164577</v>
      </c>
      <c r="E130" s="287">
        <v>143076</v>
      </c>
      <c r="F130" s="287">
        <v>8937.2746583542321</v>
      </c>
      <c r="G130" s="133">
        <v>6.6627102915965283E-2</v>
      </c>
      <c r="H130" s="276">
        <v>152683.20416897742</v>
      </c>
      <c r="I130" s="275">
        <v>173938.17212815999</v>
      </c>
      <c r="J130" s="287">
        <v>21254.96795918257</v>
      </c>
      <c r="K130" s="133">
        <v>0.13920960117957237</v>
      </c>
    </row>
    <row r="131" spans="1:11" ht="15" customHeight="1" x14ac:dyDescent="0.25">
      <c r="A131" s="15">
        <v>723</v>
      </c>
      <c r="B131" s="56" t="s">
        <v>132</v>
      </c>
      <c r="C131" s="285">
        <v>17</v>
      </c>
      <c r="D131" s="286">
        <v>90221.687447118878</v>
      </c>
      <c r="E131" s="287">
        <v>75150</v>
      </c>
      <c r="F131" s="287">
        <v>-15071.687447118878</v>
      </c>
      <c r="G131" s="133">
        <v>-0.16705171310337949</v>
      </c>
      <c r="H131" s="276">
        <v>112044.48357054451</v>
      </c>
      <c r="I131" s="275">
        <v>97408.586173999996</v>
      </c>
      <c r="J131" s="287">
        <v>-14635.897396544518</v>
      </c>
      <c r="K131" s="133">
        <v>-0.13062577406882853</v>
      </c>
    </row>
    <row r="132" spans="1:11" ht="15" customHeight="1" x14ac:dyDescent="0.25">
      <c r="A132" s="15">
        <v>724</v>
      </c>
      <c r="B132" s="56" t="s">
        <v>133</v>
      </c>
      <c r="C132" s="285">
        <v>5</v>
      </c>
      <c r="D132" s="286">
        <v>148143.432</v>
      </c>
      <c r="E132" s="287">
        <v>113478</v>
      </c>
      <c r="F132" s="287">
        <v>-34665.432000000001</v>
      </c>
      <c r="G132" s="133">
        <v>-0.23399911512783098</v>
      </c>
      <c r="H132" s="276">
        <v>166927.432</v>
      </c>
      <c r="I132" s="275">
        <v>140591.25511448001</v>
      </c>
      <c r="J132" s="287">
        <v>-26336.176885519992</v>
      </c>
      <c r="K132" s="133">
        <v>-0.15777021529642887</v>
      </c>
    </row>
    <row r="133" spans="1:11" ht="15" customHeight="1" x14ac:dyDescent="0.25">
      <c r="A133" s="15">
        <v>725</v>
      </c>
      <c r="B133" s="56" t="s">
        <v>134</v>
      </c>
      <c r="C133" s="285">
        <v>6</v>
      </c>
      <c r="D133" s="286">
        <v>54777.100000000006</v>
      </c>
      <c r="E133" s="287">
        <v>64800</v>
      </c>
      <c r="F133" s="287">
        <v>10022.899999999994</v>
      </c>
      <c r="G133" s="133">
        <v>0.18297609767585346</v>
      </c>
      <c r="H133" s="276">
        <v>69483.586438480968</v>
      </c>
      <c r="I133" s="275">
        <v>85747.643167999995</v>
      </c>
      <c r="J133" s="287">
        <v>16264.056729519027</v>
      </c>
      <c r="K133" s="133">
        <v>0.23407048431385757</v>
      </c>
    </row>
    <row r="134" spans="1:11" ht="15" customHeight="1" x14ac:dyDescent="0.25">
      <c r="A134" s="15">
        <v>728</v>
      </c>
      <c r="B134" s="56" t="s">
        <v>135</v>
      </c>
      <c r="C134" s="285">
        <v>5</v>
      </c>
      <c r="D134" s="286">
        <v>77209.599999999991</v>
      </c>
      <c r="E134" s="287">
        <v>57306</v>
      </c>
      <c r="F134" s="287">
        <v>-19903.599999999991</v>
      </c>
      <c r="G134" s="133">
        <v>-0.25778659648541108</v>
      </c>
      <c r="H134" s="276">
        <v>93037.983999999997</v>
      </c>
      <c r="I134" s="275">
        <v>77304.444434959994</v>
      </c>
      <c r="J134" s="287">
        <v>-15733.539565040002</v>
      </c>
      <c r="K134" s="133">
        <v>-0.16910877566994575</v>
      </c>
    </row>
    <row r="135" spans="1:11" ht="15" customHeight="1" x14ac:dyDescent="0.25">
      <c r="A135" s="15">
        <v>729</v>
      </c>
      <c r="B135" s="56" t="s">
        <v>136</v>
      </c>
      <c r="C135" s="285">
        <v>4</v>
      </c>
      <c r="D135" s="286" t="s">
        <v>684</v>
      </c>
      <c r="E135" s="287" t="s">
        <v>684</v>
      </c>
      <c r="F135" s="287" t="s">
        <v>484</v>
      </c>
      <c r="G135" s="133" t="s">
        <v>484</v>
      </c>
      <c r="H135" s="276" t="s">
        <v>684</v>
      </c>
      <c r="I135" s="275" t="s">
        <v>684</v>
      </c>
      <c r="J135" s="287" t="s">
        <v>484</v>
      </c>
      <c r="K135" s="133" t="s">
        <v>484</v>
      </c>
    </row>
    <row r="136" spans="1:11" ht="15" customHeight="1" x14ac:dyDescent="0.25">
      <c r="A136" s="15">
        <v>730</v>
      </c>
      <c r="B136" s="56" t="s">
        <v>137</v>
      </c>
      <c r="C136" s="285">
        <v>3</v>
      </c>
      <c r="D136" s="286" t="s">
        <v>684</v>
      </c>
      <c r="E136" s="287" t="s">
        <v>684</v>
      </c>
      <c r="F136" s="287" t="s">
        <v>484</v>
      </c>
      <c r="G136" s="133" t="s">
        <v>484</v>
      </c>
      <c r="H136" s="276" t="s">
        <v>684</v>
      </c>
      <c r="I136" s="275" t="s">
        <v>684</v>
      </c>
      <c r="J136" s="287" t="s">
        <v>484</v>
      </c>
      <c r="K136" s="133" t="s">
        <v>484</v>
      </c>
    </row>
    <row r="137" spans="1:11" ht="15" customHeight="1" x14ac:dyDescent="0.25">
      <c r="A137" s="15">
        <v>731</v>
      </c>
      <c r="B137" s="56" t="s">
        <v>138</v>
      </c>
      <c r="C137" s="285">
        <v>7</v>
      </c>
      <c r="D137" s="286">
        <v>105854.71176470589</v>
      </c>
      <c r="E137" s="287">
        <v>87192</v>
      </c>
      <c r="F137" s="287">
        <v>-18662.711764705891</v>
      </c>
      <c r="G137" s="133">
        <v>-0.17630496983629232</v>
      </c>
      <c r="H137" s="276">
        <v>134303.63907913488</v>
      </c>
      <c r="I137" s="275">
        <v>110975.83986272001</v>
      </c>
      <c r="J137" s="287">
        <v>-23327.799216414875</v>
      </c>
      <c r="K137" s="133">
        <v>-0.17369446856663046</v>
      </c>
    </row>
    <row r="138" spans="1:11" ht="15" customHeight="1" x14ac:dyDescent="0.25">
      <c r="A138" s="15">
        <v>732</v>
      </c>
      <c r="B138" s="56" t="s">
        <v>139</v>
      </c>
      <c r="C138" s="285">
        <v>19</v>
      </c>
      <c r="D138" s="286">
        <v>88699.837089463137</v>
      </c>
      <c r="E138" s="287">
        <v>79002</v>
      </c>
      <c r="F138" s="287">
        <v>-9697.8370894631371</v>
      </c>
      <c r="G138" s="133">
        <v>-0.10933320068763876</v>
      </c>
      <c r="H138" s="276">
        <v>111185.8245247476</v>
      </c>
      <c r="I138" s="275">
        <v>101748.48496232</v>
      </c>
      <c r="J138" s="287">
        <v>-9437.3395624276018</v>
      </c>
      <c r="K138" s="133">
        <v>-8.4878981675645629E-2</v>
      </c>
    </row>
    <row r="139" spans="1:11" ht="15" customHeight="1" x14ac:dyDescent="0.25">
      <c r="A139" s="15">
        <v>734</v>
      </c>
      <c r="B139" s="56" t="s">
        <v>140</v>
      </c>
      <c r="C139" s="285">
        <v>16</v>
      </c>
      <c r="D139" s="286">
        <v>92201.226770549532</v>
      </c>
      <c r="E139" s="287">
        <v>69864</v>
      </c>
      <c r="F139" s="287">
        <v>-22337.226770549532</v>
      </c>
      <c r="G139" s="133">
        <v>-0.24226604735029816</v>
      </c>
      <c r="H139" s="276">
        <v>115594.3693753939</v>
      </c>
      <c r="I139" s="275">
        <v>91453.055282240006</v>
      </c>
      <c r="J139" s="287">
        <v>-24141.314093153895</v>
      </c>
      <c r="K139" s="133">
        <v>-0.20884506938875827</v>
      </c>
    </row>
    <row r="140" spans="1:11" ht="15" customHeight="1" x14ac:dyDescent="0.25">
      <c r="A140" s="15">
        <v>735</v>
      </c>
      <c r="B140" s="56" t="s">
        <v>141</v>
      </c>
      <c r="C140" s="285">
        <v>15</v>
      </c>
      <c r="D140" s="286">
        <v>96258.065284953351</v>
      </c>
      <c r="E140" s="287">
        <v>69864</v>
      </c>
      <c r="F140" s="287">
        <v>-26394.065284953351</v>
      </c>
      <c r="G140" s="133">
        <v>-0.27420107818309908</v>
      </c>
      <c r="H140" s="276">
        <v>120280.89680890665</v>
      </c>
      <c r="I140" s="275">
        <v>91453.055282240006</v>
      </c>
      <c r="J140" s="287">
        <v>-28827.841526666642</v>
      </c>
      <c r="K140" s="133">
        <v>-0.23967098925497848</v>
      </c>
    </row>
    <row r="141" spans="1:11" ht="15" customHeight="1" x14ac:dyDescent="0.25">
      <c r="A141" s="15">
        <v>736</v>
      </c>
      <c r="B141" s="56" t="s">
        <v>142</v>
      </c>
      <c r="C141" s="285">
        <v>5</v>
      </c>
      <c r="D141" s="286">
        <v>72300</v>
      </c>
      <c r="E141" s="287">
        <v>58734</v>
      </c>
      <c r="F141" s="287">
        <v>-13566</v>
      </c>
      <c r="G141" s="133">
        <v>-0.18763485477178424</v>
      </c>
      <c r="H141" s="276">
        <v>87932</v>
      </c>
      <c r="I141" s="275">
        <v>78913.316571439995</v>
      </c>
      <c r="J141" s="287">
        <v>-9018.6834285600053</v>
      </c>
      <c r="K141" s="133">
        <v>-0.1025642931874631</v>
      </c>
    </row>
    <row r="142" spans="1:11" ht="15" customHeight="1" x14ac:dyDescent="0.25">
      <c r="A142" s="15">
        <v>737</v>
      </c>
      <c r="B142" s="56" t="s">
        <v>143</v>
      </c>
      <c r="C142" s="285">
        <v>14</v>
      </c>
      <c r="D142" s="286">
        <v>90662.349823750163</v>
      </c>
      <c r="E142" s="287">
        <v>80970</v>
      </c>
      <c r="F142" s="287">
        <v>-9692.3498237501626</v>
      </c>
      <c r="G142" s="133">
        <v>-0.10690600720797916</v>
      </c>
      <c r="H142" s="276">
        <v>113791.47463155288</v>
      </c>
      <c r="I142" s="275">
        <v>103965.75412520001</v>
      </c>
      <c r="J142" s="287">
        <v>-9825.7205063528672</v>
      </c>
      <c r="K142" s="133">
        <v>-8.6348476792024315E-2</v>
      </c>
    </row>
    <row r="143" spans="1:11" ht="15" customHeight="1" x14ac:dyDescent="0.25">
      <c r="A143" s="15">
        <v>738</v>
      </c>
      <c r="B143" s="56" t="s">
        <v>144</v>
      </c>
      <c r="C143" s="285">
        <v>3</v>
      </c>
      <c r="D143" s="286" t="s">
        <v>684</v>
      </c>
      <c r="E143" s="287" t="s">
        <v>684</v>
      </c>
      <c r="F143" s="287" t="s">
        <v>484</v>
      </c>
      <c r="G143" s="133" t="s">
        <v>484</v>
      </c>
      <c r="H143" s="276" t="s">
        <v>684</v>
      </c>
      <c r="I143" s="275" t="s">
        <v>684</v>
      </c>
      <c r="J143" s="287" t="s">
        <v>484</v>
      </c>
      <c r="K143" s="133" t="s">
        <v>484</v>
      </c>
    </row>
    <row r="144" spans="1:11" ht="15" customHeight="1" x14ac:dyDescent="0.25">
      <c r="A144" s="15">
        <v>739</v>
      </c>
      <c r="B144" s="56" t="s">
        <v>780</v>
      </c>
      <c r="C144" s="285">
        <v>3</v>
      </c>
      <c r="D144" s="286" t="s">
        <v>684</v>
      </c>
      <c r="E144" s="287" t="s">
        <v>684</v>
      </c>
      <c r="F144" s="287" t="s">
        <v>484</v>
      </c>
      <c r="G144" s="133" t="s">
        <v>484</v>
      </c>
      <c r="H144" s="276" t="s">
        <v>684</v>
      </c>
      <c r="I144" s="275" t="s">
        <v>684</v>
      </c>
      <c r="J144" s="287" t="s">
        <v>484</v>
      </c>
      <c r="K144" s="133" t="s">
        <v>484</v>
      </c>
    </row>
    <row r="145" spans="1:11" ht="15" customHeight="1" x14ac:dyDescent="0.25">
      <c r="A145" s="15">
        <v>740</v>
      </c>
      <c r="B145" s="56" t="s">
        <v>146</v>
      </c>
      <c r="C145" s="285">
        <v>7</v>
      </c>
      <c r="D145" s="286">
        <v>77610.504000000001</v>
      </c>
      <c r="E145" s="287">
        <v>63258</v>
      </c>
      <c r="F145" s="287">
        <v>-14352.504000000001</v>
      </c>
      <c r="G145" s="133">
        <v>-0.18492991618763358</v>
      </c>
      <c r="H145" s="276">
        <v>93447.207999999999</v>
      </c>
      <c r="I145" s="275">
        <v>84010.331659279997</v>
      </c>
      <c r="J145" s="287">
        <v>-9436.8763407200022</v>
      </c>
      <c r="K145" s="133">
        <v>-0.10098617757226093</v>
      </c>
    </row>
    <row r="146" spans="1:11" ht="15" customHeight="1" x14ac:dyDescent="0.25">
      <c r="A146" s="15">
        <v>741</v>
      </c>
      <c r="B146" s="56" t="s">
        <v>147</v>
      </c>
      <c r="C146" s="285">
        <v>4</v>
      </c>
      <c r="D146" s="286" t="s">
        <v>684</v>
      </c>
      <c r="E146" s="287" t="s">
        <v>684</v>
      </c>
      <c r="F146" s="287" t="s">
        <v>484</v>
      </c>
      <c r="G146" s="133" t="s">
        <v>484</v>
      </c>
      <c r="H146" s="276" t="s">
        <v>684</v>
      </c>
      <c r="I146" s="275" t="s">
        <v>684</v>
      </c>
      <c r="J146" s="287" t="s">
        <v>484</v>
      </c>
      <c r="K146" s="133" t="s">
        <v>484</v>
      </c>
    </row>
    <row r="147" spans="1:11" ht="15" customHeight="1" x14ac:dyDescent="0.25">
      <c r="A147" s="15">
        <v>742</v>
      </c>
      <c r="B147" s="56" t="s">
        <v>148</v>
      </c>
      <c r="C147" s="285">
        <v>4</v>
      </c>
      <c r="D147" s="286" t="s">
        <v>684</v>
      </c>
      <c r="E147" s="287" t="s">
        <v>684</v>
      </c>
      <c r="F147" s="287" t="s">
        <v>484</v>
      </c>
      <c r="G147" s="133" t="s">
        <v>484</v>
      </c>
      <c r="H147" s="276" t="s">
        <v>684</v>
      </c>
      <c r="I147" s="275" t="s">
        <v>684</v>
      </c>
      <c r="J147" s="287" t="s">
        <v>484</v>
      </c>
      <c r="K147" s="133" t="s">
        <v>484</v>
      </c>
    </row>
    <row r="148" spans="1:11" ht="15" customHeight="1" x14ac:dyDescent="0.25">
      <c r="A148" s="15">
        <v>743</v>
      </c>
      <c r="B148" s="56" t="s">
        <v>149</v>
      </c>
      <c r="C148" s="285">
        <v>7</v>
      </c>
      <c r="D148" s="286">
        <v>75385.599239142815</v>
      </c>
      <c r="E148" s="287">
        <v>61710</v>
      </c>
      <c r="F148" s="287">
        <v>-13675.599239142815</v>
      </c>
      <c r="G148" s="133">
        <v>-0.1814086427271108</v>
      </c>
      <c r="H148" s="276">
        <v>97350.959638259374</v>
      </c>
      <c r="I148" s="275">
        <v>82266.260183599996</v>
      </c>
      <c r="J148" s="287">
        <v>-15084.699454659378</v>
      </c>
      <c r="K148" s="133">
        <v>-0.15495172837239318</v>
      </c>
    </row>
    <row r="149" spans="1:11" ht="15" customHeight="1" x14ac:dyDescent="0.25">
      <c r="A149" s="15">
        <v>745</v>
      </c>
      <c r="B149" s="56" t="s">
        <v>150</v>
      </c>
      <c r="C149" s="285">
        <v>5</v>
      </c>
      <c r="D149" s="286">
        <v>88873.965116279069</v>
      </c>
      <c r="E149" s="287">
        <v>54582</v>
      </c>
      <c r="F149" s="287">
        <v>-34291.965116279069</v>
      </c>
      <c r="G149" s="133">
        <v>-0.38584938875420782</v>
      </c>
      <c r="H149" s="276">
        <v>103729.96511627907</v>
      </c>
      <c r="I149" s="275">
        <v>74235.419435119999</v>
      </c>
      <c r="J149" s="287">
        <v>-29494.54568115907</v>
      </c>
      <c r="K149" s="133">
        <v>-0.28433968572240736</v>
      </c>
    </row>
    <row r="150" spans="1:11" ht="15" customHeight="1" x14ac:dyDescent="0.25">
      <c r="A150" s="15">
        <v>746</v>
      </c>
      <c r="B150" s="56" t="s">
        <v>151</v>
      </c>
      <c r="C150" s="285">
        <v>3</v>
      </c>
      <c r="D150" s="286" t="s">
        <v>684</v>
      </c>
      <c r="E150" s="287" t="s">
        <v>684</v>
      </c>
      <c r="F150" s="287" t="s">
        <v>484</v>
      </c>
      <c r="G150" s="133" t="s">
        <v>484</v>
      </c>
      <c r="H150" s="276" t="s">
        <v>684</v>
      </c>
      <c r="I150" s="275" t="s">
        <v>684</v>
      </c>
      <c r="J150" s="287" t="s">
        <v>484</v>
      </c>
      <c r="K150" s="133" t="s">
        <v>484</v>
      </c>
    </row>
    <row r="151" spans="1:11" ht="15" customHeight="1" x14ac:dyDescent="0.25">
      <c r="A151" s="15">
        <v>748</v>
      </c>
      <c r="B151" s="56" t="s">
        <v>152</v>
      </c>
      <c r="C151" s="285">
        <v>3</v>
      </c>
      <c r="D151" s="286" t="s">
        <v>684</v>
      </c>
      <c r="E151" s="287" t="s">
        <v>684</v>
      </c>
      <c r="F151" s="287" t="s">
        <v>484</v>
      </c>
      <c r="G151" s="133" t="s">
        <v>484</v>
      </c>
      <c r="H151" s="276" t="s">
        <v>684</v>
      </c>
      <c r="I151" s="275" t="s">
        <v>684</v>
      </c>
      <c r="J151" s="287" t="s">
        <v>484</v>
      </c>
      <c r="K151" s="133" t="s">
        <v>484</v>
      </c>
    </row>
    <row r="152" spans="1:11" ht="15" customHeight="1" x14ac:dyDescent="0.25">
      <c r="A152" s="15">
        <v>749</v>
      </c>
      <c r="B152" s="56" t="s">
        <v>153</v>
      </c>
      <c r="C152" s="285">
        <v>3</v>
      </c>
      <c r="D152" s="286" t="s">
        <v>684</v>
      </c>
      <c r="E152" s="287" t="s">
        <v>684</v>
      </c>
      <c r="F152" s="287" t="s">
        <v>484</v>
      </c>
      <c r="G152" s="133" t="s">
        <v>484</v>
      </c>
      <c r="H152" s="276" t="s">
        <v>684</v>
      </c>
      <c r="I152" s="275" t="s">
        <v>684</v>
      </c>
      <c r="J152" s="287" t="s">
        <v>484</v>
      </c>
      <c r="K152" s="133" t="s">
        <v>484</v>
      </c>
    </row>
    <row r="153" spans="1:11" ht="15" customHeight="1" x14ac:dyDescent="0.25">
      <c r="A153" s="15">
        <v>753</v>
      </c>
      <c r="B153" s="56" t="s">
        <v>154</v>
      </c>
      <c r="C153" s="285">
        <v>4</v>
      </c>
      <c r="D153" s="286" t="s">
        <v>684</v>
      </c>
      <c r="E153" s="287" t="s">
        <v>684</v>
      </c>
      <c r="F153" s="287" t="s">
        <v>484</v>
      </c>
      <c r="G153" s="133" t="s">
        <v>484</v>
      </c>
      <c r="H153" s="276" t="s">
        <v>684</v>
      </c>
      <c r="I153" s="275" t="s">
        <v>684</v>
      </c>
      <c r="J153" s="287" t="s">
        <v>484</v>
      </c>
      <c r="K153" s="133" t="s">
        <v>484</v>
      </c>
    </row>
    <row r="154" spans="1:11" ht="15" customHeight="1" x14ac:dyDescent="0.25">
      <c r="A154" s="15">
        <v>754</v>
      </c>
      <c r="B154" s="56" t="s">
        <v>155</v>
      </c>
      <c r="C154" s="285">
        <v>11</v>
      </c>
      <c r="D154" s="286">
        <v>75304.918131678729</v>
      </c>
      <c r="E154" s="287">
        <v>73380</v>
      </c>
      <c r="F154" s="287">
        <v>-1924.918131678729</v>
      </c>
      <c r="G154" s="133">
        <v>-2.5561652272336359E-2</v>
      </c>
      <c r="H154" s="276">
        <v>97959.152709709801</v>
      </c>
      <c r="I154" s="275">
        <v>95414.395920800001</v>
      </c>
      <c r="J154" s="287">
        <v>-2544.7567889097991</v>
      </c>
      <c r="K154" s="133">
        <v>-2.5977733764713958E-2</v>
      </c>
    </row>
    <row r="155" spans="1:11" ht="15" customHeight="1" x14ac:dyDescent="0.25">
      <c r="A155" s="15">
        <v>755</v>
      </c>
      <c r="B155" s="56" t="s">
        <v>156</v>
      </c>
      <c r="C155" s="285">
        <v>3</v>
      </c>
      <c r="D155" s="286" t="s">
        <v>684</v>
      </c>
      <c r="E155" s="287" t="s">
        <v>684</v>
      </c>
      <c r="F155" s="287" t="s">
        <v>484</v>
      </c>
      <c r="G155" s="133" t="s">
        <v>484</v>
      </c>
      <c r="H155" s="276" t="s">
        <v>684</v>
      </c>
      <c r="I155" s="275" t="s">
        <v>684</v>
      </c>
      <c r="J155" s="287" t="s">
        <v>484</v>
      </c>
      <c r="K155" s="133" t="s">
        <v>484</v>
      </c>
    </row>
    <row r="156" spans="1:11" ht="15" customHeight="1" x14ac:dyDescent="0.25">
      <c r="B156" s="62" t="s">
        <v>477</v>
      </c>
      <c r="C156" s="63"/>
      <c r="D156" s="124">
        <v>94140.919601103014</v>
      </c>
      <c r="E156" s="124">
        <v>80013.428571428565</v>
      </c>
      <c r="F156" s="124">
        <v>-14127.491029674449</v>
      </c>
      <c r="G156" s="125">
        <v>-0.15006748488899319</v>
      </c>
      <c r="H156" s="126">
        <v>116163.15314455031</v>
      </c>
      <c r="I156" s="127">
        <v>102888.02224986284</v>
      </c>
      <c r="J156" s="124">
        <v>-13275.130894687463</v>
      </c>
      <c r="K156" s="125">
        <v>-0.1142800495279966</v>
      </c>
    </row>
    <row r="157" spans="1:11" ht="15" customHeight="1" x14ac:dyDescent="0.25"/>
    <row r="158" spans="1:11" ht="15" customHeight="1" x14ac:dyDescent="0.25">
      <c r="B158" s="110" t="s">
        <v>682</v>
      </c>
      <c r="C158" s="533" t="s">
        <v>765</v>
      </c>
      <c r="D158" s="534"/>
      <c r="E158" s="534"/>
      <c r="F158" s="535"/>
      <c r="G158" s="534"/>
      <c r="H158" s="303" t="s">
        <v>435</v>
      </c>
      <c r="I158" s="303"/>
      <c r="J158" s="303"/>
      <c r="K158" s="305"/>
    </row>
    <row r="159" spans="1:11" ht="47.25" x14ac:dyDescent="0.25">
      <c r="B159" s="111" t="s">
        <v>679</v>
      </c>
      <c r="C159" s="113" t="s">
        <v>764</v>
      </c>
      <c r="D159" s="112" t="s">
        <v>763</v>
      </c>
      <c r="E159" s="130" t="s">
        <v>762</v>
      </c>
      <c r="F159" s="130" t="s">
        <v>761</v>
      </c>
      <c r="G159" s="130" t="s">
        <v>736</v>
      </c>
      <c r="H159" s="131" t="s">
        <v>760</v>
      </c>
      <c r="I159" s="130" t="s">
        <v>759</v>
      </c>
      <c r="J159" s="130" t="s">
        <v>758</v>
      </c>
      <c r="K159" s="132" t="s">
        <v>737</v>
      </c>
    </row>
    <row r="160" spans="1:11" ht="15" customHeight="1" x14ac:dyDescent="0.25">
      <c r="A160" s="15">
        <v>800</v>
      </c>
      <c r="B160" s="56" t="s">
        <v>157</v>
      </c>
      <c r="C160" s="285">
        <v>11</v>
      </c>
      <c r="D160" s="286">
        <v>46030.559999999998</v>
      </c>
      <c r="E160" s="287">
        <v>45012</v>
      </c>
      <c r="F160" s="287">
        <v>-1018.5599999999977</v>
      </c>
      <c r="G160" s="133">
        <v>-2.2127908068031277E-2</v>
      </c>
      <c r="H160" s="276">
        <v>61066.720000000001</v>
      </c>
      <c r="I160" s="275">
        <v>63453.27213392</v>
      </c>
      <c r="J160" s="287">
        <v>2386.5521339199986</v>
      </c>
      <c r="K160" s="133">
        <v>3.9081059764139919E-2</v>
      </c>
    </row>
    <row r="161" spans="1:35" ht="15" customHeight="1" x14ac:dyDescent="0.25">
      <c r="A161" s="15">
        <v>801</v>
      </c>
      <c r="B161" s="56" t="s">
        <v>158</v>
      </c>
      <c r="C161" s="285">
        <v>20</v>
      </c>
      <c r="D161" s="286">
        <v>74340.347278030633</v>
      </c>
      <c r="E161" s="287">
        <v>57306</v>
      </c>
      <c r="F161" s="287">
        <v>-17034.347278030633</v>
      </c>
      <c r="G161" s="133">
        <v>-0.22914000138205828</v>
      </c>
      <c r="H161" s="276">
        <v>95198.424255055201</v>
      </c>
      <c r="I161" s="275">
        <v>77304.444434959994</v>
      </c>
      <c r="J161" s="287">
        <v>-17893.979820095206</v>
      </c>
      <c r="K161" s="133">
        <v>-0.18796508408746068</v>
      </c>
    </row>
    <row r="162" spans="1:35" ht="15" customHeight="1" x14ac:dyDescent="0.25">
      <c r="A162" s="15">
        <v>802</v>
      </c>
      <c r="B162" s="56" t="s">
        <v>159</v>
      </c>
      <c r="C162" s="285">
        <v>5</v>
      </c>
      <c r="D162" s="286">
        <v>36747.006659898587</v>
      </c>
      <c r="E162" s="287">
        <v>39030</v>
      </c>
      <c r="F162" s="287">
        <v>2282.9933401014132</v>
      </c>
      <c r="G162" s="133">
        <v>6.2127328117661536E-2</v>
      </c>
      <c r="H162" s="276">
        <v>50956.88692629453</v>
      </c>
      <c r="I162" s="275">
        <v>56713.585074800001</v>
      </c>
      <c r="J162" s="287">
        <v>5756.6981485054712</v>
      </c>
      <c r="K162" s="133">
        <v>0.11297193560572334</v>
      </c>
    </row>
    <row r="163" spans="1:35" s="14" customFormat="1" ht="15" customHeight="1" x14ac:dyDescent="0.25">
      <c r="B163" s="62" t="s">
        <v>680</v>
      </c>
      <c r="C163" s="63"/>
      <c r="D163" s="124">
        <v>52372.637979309737</v>
      </c>
      <c r="E163" s="124">
        <v>47116</v>
      </c>
      <c r="F163" s="124">
        <v>-5256.6379793097367</v>
      </c>
      <c r="G163" s="125">
        <v>-0.10036992945412482</v>
      </c>
      <c r="H163" s="126">
        <v>69074.010393783246</v>
      </c>
      <c r="I163" s="127">
        <v>65823.767214559994</v>
      </c>
      <c r="J163" s="124">
        <v>-3250.2431792232528</v>
      </c>
      <c r="K163" s="125">
        <v>-4.705450227508115E-2</v>
      </c>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row>
    <row r="164" spans="1:35" ht="15" customHeight="1" x14ac:dyDescent="0.25"/>
    <row r="165" spans="1:35" ht="15" customHeight="1" x14ac:dyDescent="0.25">
      <c r="B165" s="110" t="s">
        <v>586</v>
      </c>
      <c r="C165" s="533" t="s">
        <v>765</v>
      </c>
      <c r="D165" s="534"/>
      <c r="E165" s="534"/>
      <c r="F165" s="535"/>
      <c r="G165" s="534"/>
      <c r="H165" s="303" t="s">
        <v>435</v>
      </c>
      <c r="I165" s="303"/>
      <c r="J165" s="303"/>
      <c r="K165" s="305"/>
    </row>
    <row r="166" spans="1:35" ht="47.25" x14ac:dyDescent="0.25">
      <c r="B166" s="111" t="s">
        <v>679</v>
      </c>
      <c r="C166" s="113" t="s">
        <v>764</v>
      </c>
      <c r="D166" s="112" t="s">
        <v>763</v>
      </c>
      <c r="E166" s="130" t="s">
        <v>762</v>
      </c>
      <c r="F166" s="130" t="s">
        <v>761</v>
      </c>
      <c r="G166" s="130" t="s">
        <v>736</v>
      </c>
      <c r="H166" s="131" t="s">
        <v>760</v>
      </c>
      <c r="I166" s="130" t="s">
        <v>759</v>
      </c>
      <c r="J166" s="130" t="s">
        <v>758</v>
      </c>
      <c r="K166" s="132" t="s">
        <v>737</v>
      </c>
    </row>
    <row r="167" spans="1:35" ht="15" customHeight="1" x14ac:dyDescent="0.25">
      <c r="A167" s="15">
        <v>1700</v>
      </c>
      <c r="B167" s="56" t="s">
        <v>779</v>
      </c>
      <c r="C167" s="285">
        <v>23</v>
      </c>
      <c r="D167" s="286">
        <v>97018.972500000003</v>
      </c>
      <c r="E167" s="287">
        <v>92970</v>
      </c>
      <c r="F167" s="287">
        <v>-4048.9725000000035</v>
      </c>
      <c r="G167" s="133">
        <v>-4.1733821701729561E-2</v>
      </c>
      <c r="H167" s="276">
        <v>121487.8326477364</v>
      </c>
      <c r="I167" s="275">
        <v>117485.6880452</v>
      </c>
      <c r="J167" s="287">
        <v>-4002.1446025363985</v>
      </c>
      <c r="K167" s="133">
        <v>-3.2942760730129528E-2</v>
      </c>
    </row>
    <row r="168" spans="1:35" ht="15" customHeight="1" x14ac:dyDescent="0.25">
      <c r="A168" s="15">
        <v>1701</v>
      </c>
      <c r="B168" s="56" t="s">
        <v>778</v>
      </c>
      <c r="C168" s="285">
        <v>17</v>
      </c>
      <c r="D168" s="286">
        <v>118073.55</v>
      </c>
      <c r="E168" s="287">
        <v>86478</v>
      </c>
      <c r="F168" s="287">
        <v>-31595.550000000003</v>
      </c>
      <c r="G168" s="133">
        <v>-0.2675921067842883</v>
      </c>
      <c r="H168" s="276">
        <v>143775.65603166341</v>
      </c>
      <c r="I168" s="275">
        <v>110171.40379447999</v>
      </c>
      <c r="J168" s="287">
        <v>-33604.25223718342</v>
      </c>
      <c r="K168" s="133">
        <v>-0.23372699638235575</v>
      </c>
    </row>
    <row r="169" spans="1:35" ht="15" customHeight="1" x14ac:dyDescent="0.25">
      <c r="A169" s="15">
        <v>1702</v>
      </c>
      <c r="B169" s="56" t="s">
        <v>777</v>
      </c>
      <c r="C169" s="285">
        <v>23</v>
      </c>
      <c r="D169" s="286">
        <v>90199.1</v>
      </c>
      <c r="E169" s="287">
        <v>92970</v>
      </c>
      <c r="F169" s="287">
        <v>2770.8999999999942</v>
      </c>
      <c r="G169" s="133">
        <v>3.0719818712160032E-2</v>
      </c>
      <c r="H169" s="276">
        <v>114237.38630051501</v>
      </c>
      <c r="I169" s="275">
        <v>117485.6880452</v>
      </c>
      <c r="J169" s="287">
        <v>3248.301744684999</v>
      </c>
      <c r="K169" s="133">
        <v>2.8434664428858305E-2</v>
      </c>
    </row>
    <row r="170" spans="1:35" ht="15" customHeight="1" x14ac:dyDescent="0.25">
      <c r="A170" s="15">
        <v>1703</v>
      </c>
      <c r="B170" s="56" t="s">
        <v>776</v>
      </c>
      <c r="C170" s="285">
        <v>24</v>
      </c>
      <c r="D170" s="286">
        <v>77792.25</v>
      </c>
      <c r="E170" s="287">
        <v>80484</v>
      </c>
      <c r="F170" s="287">
        <v>2691.75</v>
      </c>
      <c r="G170" s="133">
        <v>3.4601775883844471E-2</v>
      </c>
      <c r="H170" s="276">
        <v>100588.16448001</v>
      </c>
      <c r="I170" s="275">
        <v>103418.19680144</v>
      </c>
      <c r="J170" s="287">
        <v>2830.0323214300006</v>
      </c>
      <c r="K170" s="133">
        <v>2.8134844055061926E-2</v>
      </c>
    </row>
    <row r="171" spans="1:35" ht="15" customHeight="1" x14ac:dyDescent="0.25">
      <c r="A171" s="15">
        <v>1704</v>
      </c>
      <c r="B171" s="56" t="s">
        <v>592</v>
      </c>
      <c r="C171" s="285">
        <v>18</v>
      </c>
      <c r="D171" s="286">
        <v>100132.96903104211</v>
      </c>
      <c r="E171" s="287">
        <v>97626</v>
      </c>
      <c r="F171" s="287">
        <v>-2506.9690310421138</v>
      </c>
      <c r="G171" s="133">
        <v>-2.5036399652395517E-2</v>
      </c>
      <c r="H171" s="276">
        <v>123204.32680044489</v>
      </c>
      <c r="I171" s="275">
        <v>122731.42240616</v>
      </c>
      <c r="J171" s="287">
        <v>-472.90439428489481</v>
      </c>
      <c r="K171" s="133">
        <v>-3.8383748896324245E-3</v>
      </c>
    </row>
    <row r="172" spans="1:35" ht="15" customHeight="1" x14ac:dyDescent="0.25">
      <c r="A172" s="15">
        <v>1705</v>
      </c>
      <c r="B172" s="56" t="s">
        <v>775</v>
      </c>
      <c r="C172" s="285">
        <v>23</v>
      </c>
      <c r="D172" s="286">
        <v>93843.072500000009</v>
      </c>
      <c r="E172" s="287">
        <v>92970</v>
      </c>
      <c r="F172" s="287">
        <v>-873.07250000000931</v>
      </c>
      <c r="G172" s="133">
        <v>-9.3035370298645038E-3</v>
      </c>
      <c r="H172" s="276">
        <v>118280.3252067752</v>
      </c>
      <c r="I172" s="275">
        <v>117485.6880452</v>
      </c>
      <c r="J172" s="287">
        <v>-794.63716157519957</v>
      </c>
      <c r="K172" s="133">
        <v>-6.7182531007251751E-3</v>
      </c>
    </row>
    <row r="173" spans="1:35" ht="15" customHeight="1" x14ac:dyDescent="0.25">
      <c r="A173" s="15">
        <v>1706</v>
      </c>
      <c r="B173" s="56" t="s">
        <v>774</v>
      </c>
      <c r="C173" s="285">
        <v>9</v>
      </c>
      <c r="D173" s="286">
        <v>108266.5</v>
      </c>
      <c r="E173" s="287">
        <v>80484</v>
      </c>
      <c r="F173" s="287">
        <v>-27782.5</v>
      </c>
      <c r="G173" s="133">
        <v>-0.25661215611477234</v>
      </c>
      <c r="H173" s="276">
        <v>135580.15865402517</v>
      </c>
      <c r="I173" s="275">
        <v>103418.19680144</v>
      </c>
      <c r="J173" s="287">
        <v>-32161.961852585169</v>
      </c>
      <c r="K173" s="133">
        <v>-0.23721731978981075</v>
      </c>
    </row>
    <row r="174" spans="1:35" ht="15" customHeight="1" x14ac:dyDescent="0.25">
      <c r="A174" s="15">
        <v>1707</v>
      </c>
      <c r="B174" s="56" t="s">
        <v>773</v>
      </c>
      <c r="C174" s="285">
        <v>17</v>
      </c>
      <c r="D174" s="286">
        <v>109988.5</v>
      </c>
      <c r="E174" s="287">
        <v>97626</v>
      </c>
      <c r="F174" s="287">
        <v>-12362.5</v>
      </c>
      <c r="G174" s="133">
        <v>-0.11239811434831823</v>
      </c>
      <c r="H174" s="276">
        <v>136156.49398968741</v>
      </c>
      <c r="I174" s="275">
        <v>122731.42240616</v>
      </c>
      <c r="J174" s="287">
        <v>-13425.071583527417</v>
      </c>
      <c r="K174" s="133">
        <v>-9.860030315222601E-2</v>
      </c>
    </row>
    <row r="175" spans="1:35" ht="15" customHeight="1" x14ac:dyDescent="0.25">
      <c r="A175" s="15">
        <v>1708</v>
      </c>
      <c r="B175" s="56" t="s">
        <v>772</v>
      </c>
      <c r="C175" s="285">
        <v>9</v>
      </c>
      <c r="D175" s="286">
        <v>94069</v>
      </c>
      <c r="E175" s="287">
        <v>92970</v>
      </c>
      <c r="F175" s="287">
        <v>-1099</v>
      </c>
      <c r="G175" s="133">
        <v>-1.1682913605970086E-2</v>
      </c>
      <c r="H175" s="276">
        <v>118007.02370379622</v>
      </c>
      <c r="I175" s="275">
        <v>117485.6880452</v>
      </c>
      <c r="J175" s="287">
        <v>-521.3356585962174</v>
      </c>
      <c r="K175" s="133">
        <v>-4.4178358392022244E-3</v>
      </c>
    </row>
    <row r="176" spans="1:35" ht="15" customHeight="1" x14ac:dyDescent="0.25">
      <c r="A176" s="15">
        <v>1709</v>
      </c>
      <c r="B176" s="56" t="s">
        <v>771</v>
      </c>
      <c r="C176" s="285">
        <v>16</v>
      </c>
      <c r="D176" s="286">
        <v>105152</v>
      </c>
      <c r="E176" s="287">
        <v>92970</v>
      </c>
      <c r="F176" s="287">
        <v>-12182</v>
      </c>
      <c r="G176" s="133">
        <v>-0.11585133901399879</v>
      </c>
      <c r="H176" s="276">
        <v>129509.30487758954</v>
      </c>
      <c r="I176" s="275">
        <v>117485.6880452</v>
      </c>
      <c r="J176" s="287">
        <v>-12023.61683238954</v>
      </c>
      <c r="K176" s="133">
        <v>-9.2839791270241945E-2</v>
      </c>
    </row>
    <row r="177" spans="1:35" ht="15" customHeight="1" x14ac:dyDescent="0.25">
      <c r="A177" s="15">
        <v>1710</v>
      </c>
      <c r="B177" s="56" t="s">
        <v>770</v>
      </c>
      <c r="C177" s="285">
        <v>24</v>
      </c>
      <c r="D177" s="286">
        <v>98532.969031042114</v>
      </c>
      <c r="E177" s="287">
        <v>97626</v>
      </c>
      <c r="F177" s="287">
        <v>-906.96903104211378</v>
      </c>
      <c r="G177" s="133">
        <v>-9.2047264987659069E-3</v>
      </c>
      <c r="H177" s="276">
        <v>122781.45744289961</v>
      </c>
      <c r="I177" s="275">
        <v>122731.42240616</v>
      </c>
      <c r="J177" s="287">
        <v>-50.035036739616771</v>
      </c>
      <c r="K177" s="133">
        <v>-4.0751297290053689E-4</v>
      </c>
    </row>
    <row r="178" spans="1:35" ht="15" customHeight="1" x14ac:dyDescent="0.25">
      <c r="A178" s="15">
        <v>1711</v>
      </c>
      <c r="B178" s="56" t="s">
        <v>769</v>
      </c>
      <c r="C178" s="285">
        <v>6</v>
      </c>
      <c r="D178" s="286">
        <v>91913.489999999991</v>
      </c>
      <c r="E178" s="287">
        <v>86478</v>
      </c>
      <c r="F178" s="287">
        <v>-5435.4899999999907</v>
      </c>
      <c r="G178" s="133">
        <v>-5.9137021127148921E-2</v>
      </c>
      <c r="H178" s="276">
        <v>115428.57207843976</v>
      </c>
      <c r="I178" s="275">
        <v>110171.40379447999</v>
      </c>
      <c r="J178" s="287">
        <v>-5257.1682839597634</v>
      </c>
      <c r="K178" s="133">
        <v>-4.5544774480855942E-2</v>
      </c>
    </row>
    <row r="179" spans="1:35" ht="15" customHeight="1" x14ac:dyDescent="0.25">
      <c r="A179" s="15">
        <v>1712</v>
      </c>
      <c r="B179" s="56" t="s">
        <v>237</v>
      </c>
      <c r="C179" s="285">
        <v>21</v>
      </c>
      <c r="D179" s="286">
        <v>70289</v>
      </c>
      <c r="E179" s="287">
        <v>54582</v>
      </c>
      <c r="F179" s="287">
        <v>-15707</v>
      </c>
      <c r="G179" s="133">
        <v>-0.22346313078860133</v>
      </c>
      <c r="H179" s="276">
        <v>91609.91360652</v>
      </c>
      <c r="I179" s="275">
        <v>74235.419435119999</v>
      </c>
      <c r="J179" s="287">
        <v>-17374.494171400002</v>
      </c>
      <c r="K179" s="133">
        <v>-0.18965735789279725</v>
      </c>
    </row>
    <row r="180" spans="1:35" s="14" customFormat="1" ht="15" customHeight="1" x14ac:dyDescent="0.25">
      <c r="B180" s="62" t="s">
        <v>477</v>
      </c>
      <c r="C180" s="63"/>
      <c r="D180" s="124">
        <v>96559.336389391116</v>
      </c>
      <c r="E180" s="124">
        <v>88171.846153846156</v>
      </c>
      <c r="F180" s="124">
        <v>-8387.4902355449594</v>
      </c>
      <c r="G180" s="125">
        <v>-8.6863586155160086E-2</v>
      </c>
      <c r="H180" s="126">
        <v>120818.97044770021</v>
      </c>
      <c r="I180" s="127">
        <v>112079.79446703385</v>
      </c>
      <c r="J180" s="124">
        <v>-8739.1759806663613</v>
      </c>
      <c r="K180" s="125">
        <v>-7.2332812871049521E-2</v>
      </c>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row>
    <row r="181" spans="1:35" ht="15" customHeight="1" x14ac:dyDescent="0.25"/>
    <row r="182" spans="1:35" ht="15" customHeight="1" x14ac:dyDescent="0.25">
      <c r="B182" s="110" t="s">
        <v>51</v>
      </c>
      <c r="C182" s="533" t="s">
        <v>765</v>
      </c>
      <c r="D182" s="534"/>
      <c r="E182" s="534"/>
      <c r="F182" s="535"/>
      <c r="G182" s="534"/>
      <c r="H182" s="303" t="s">
        <v>435</v>
      </c>
      <c r="I182" s="303"/>
      <c r="J182" s="303"/>
      <c r="K182" s="305"/>
    </row>
    <row r="183" spans="1:35" ht="47.25" x14ac:dyDescent="0.25">
      <c r="B183" s="111" t="s">
        <v>679</v>
      </c>
      <c r="C183" s="113" t="s">
        <v>764</v>
      </c>
      <c r="D183" s="112" t="s">
        <v>763</v>
      </c>
      <c r="E183" s="130" t="s">
        <v>762</v>
      </c>
      <c r="F183" s="130" t="s">
        <v>761</v>
      </c>
      <c r="G183" s="130" t="s">
        <v>736</v>
      </c>
      <c r="H183" s="131" t="s">
        <v>760</v>
      </c>
      <c r="I183" s="130" t="s">
        <v>759</v>
      </c>
      <c r="J183" s="130" t="s">
        <v>758</v>
      </c>
      <c r="K183" s="132" t="s">
        <v>737</v>
      </c>
    </row>
    <row r="184" spans="1:35" ht="15" customHeight="1" x14ac:dyDescent="0.25">
      <c r="A184" s="15">
        <v>900</v>
      </c>
      <c r="B184" s="56" t="s">
        <v>160</v>
      </c>
      <c r="C184" s="285">
        <v>25</v>
      </c>
      <c r="D184" s="286">
        <v>84443.210786528405</v>
      </c>
      <c r="E184" s="287">
        <v>61710</v>
      </c>
      <c r="F184" s="287">
        <v>-22733.210786528405</v>
      </c>
      <c r="G184" s="133">
        <v>-0.26921300806523968</v>
      </c>
      <c r="H184" s="276">
        <v>107571.06807926527</v>
      </c>
      <c r="I184" s="275">
        <v>82266.260183599996</v>
      </c>
      <c r="J184" s="287">
        <v>-25304.807895665275</v>
      </c>
      <c r="K184" s="133">
        <v>-0.23523804632133119</v>
      </c>
    </row>
    <row r="185" spans="1:35" ht="15" customHeight="1" x14ac:dyDescent="0.25">
      <c r="A185" s="15">
        <v>901</v>
      </c>
      <c r="B185" s="56" t="s">
        <v>161</v>
      </c>
      <c r="C185" s="285">
        <v>9</v>
      </c>
      <c r="D185" s="286">
        <v>83021.619448740239</v>
      </c>
      <c r="E185" s="287">
        <v>61710</v>
      </c>
      <c r="F185" s="287">
        <v>-21311.619448740239</v>
      </c>
      <c r="G185" s="133">
        <v>-0.25669963547144009</v>
      </c>
      <c r="H185" s="276">
        <v>101486.50121215818</v>
      </c>
      <c r="I185" s="275">
        <v>82266.260183599996</v>
      </c>
      <c r="J185" s="287">
        <v>-19220.241028558186</v>
      </c>
      <c r="K185" s="133">
        <v>-0.18938716774143341</v>
      </c>
    </row>
    <row r="186" spans="1:35" ht="15" customHeight="1" x14ac:dyDescent="0.25">
      <c r="A186" s="15">
        <v>903</v>
      </c>
      <c r="B186" s="56" t="s">
        <v>162</v>
      </c>
      <c r="C186" s="285">
        <v>17</v>
      </c>
      <c r="D186" s="286">
        <v>69321.850379084965</v>
      </c>
      <c r="E186" s="287">
        <v>57306</v>
      </c>
      <c r="F186" s="287">
        <v>-12015.850379084965</v>
      </c>
      <c r="G186" s="133">
        <v>-0.17333424184981444</v>
      </c>
      <c r="H186" s="276">
        <v>90199.530541461427</v>
      </c>
      <c r="I186" s="275">
        <v>77304.444434959994</v>
      </c>
      <c r="J186" s="287">
        <v>-12895.086106501432</v>
      </c>
      <c r="K186" s="133">
        <v>-0.14296178737398232</v>
      </c>
    </row>
    <row r="187" spans="1:35" ht="15" customHeight="1" x14ac:dyDescent="0.25">
      <c r="A187" s="15">
        <v>904</v>
      </c>
      <c r="B187" s="56" t="s">
        <v>163</v>
      </c>
      <c r="C187" s="285">
        <v>5</v>
      </c>
      <c r="D187" s="286">
        <v>57801.593999999997</v>
      </c>
      <c r="E187" s="287">
        <v>43554</v>
      </c>
      <c r="F187" s="287">
        <v>-14247.593999999997</v>
      </c>
      <c r="G187" s="133">
        <v>-0.24649136838683028</v>
      </c>
      <c r="H187" s="276">
        <v>73133.593999999997</v>
      </c>
      <c r="I187" s="275">
        <v>61810.600162640003</v>
      </c>
      <c r="J187" s="287">
        <v>-11322.993837359994</v>
      </c>
      <c r="K187" s="133">
        <v>-0.15482616425715376</v>
      </c>
    </row>
    <row r="188" spans="1:35" ht="15" customHeight="1" x14ac:dyDescent="0.25">
      <c r="A188" s="15">
        <v>906</v>
      </c>
      <c r="B188" s="56" t="s">
        <v>164</v>
      </c>
      <c r="C188" s="285">
        <v>9</v>
      </c>
      <c r="D188" s="286">
        <v>66432.75</v>
      </c>
      <c r="E188" s="287">
        <v>54582</v>
      </c>
      <c r="F188" s="287">
        <v>-11850.75</v>
      </c>
      <c r="G188" s="133">
        <v>-0.1783871659685923</v>
      </c>
      <c r="H188" s="276">
        <v>88687.5363392</v>
      </c>
      <c r="I188" s="275">
        <v>74235.419435119999</v>
      </c>
      <c r="J188" s="287">
        <v>-14452.116904080001</v>
      </c>
      <c r="K188" s="133">
        <v>-0.16295544448100932</v>
      </c>
    </row>
    <row r="189" spans="1:35" ht="15" customHeight="1" x14ac:dyDescent="0.25">
      <c r="A189" s="15">
        <v>910</v>
      </c>
      <c r="B189" s="56" t="s">
        <v>165</v>
      </c>
      <c r="C189" s="285">
        <v>16</v>
      </c>
      <c r="D189" s="286">
        <v>69590.461685304996</v>
      </c>
      <c r="E189" s="287">
        <v>54240</v>
      </c>
      <c r="F189" s="287">
        <v>-15350.461685304996</v>
      </c>
      <c r="G189" s="133">
        <v>-0.22058284014153137</v>
      </c>
      <c r="H189" s="276">
        <v>91368.618999317347</v>
      </c>
      <c r="I189" s="275">
        <v>73850.101318400004</v>
      </c>
      <c r="J189" s="287">
        <v>-17518.517680917343</v>
      </c>
      <c r="K189" s="133">
        <v>-0.19173451314885509</v>
      </c>
    </row>
    <row r="190" spans="1:35" ht="15" customHeight="1" x14ac:dyDescent="0.25">
      <c r="A190" s="15">
        <v>911</v>
      </c>
      <c r="B190" s="56" t="s">
        <v>166</v>
      </c>
      <c r="C190" s="285">
        <v>7</v>
      </c>
      <c r="D190" s="286">
        <v>64032.800000000003</v>
      </c>
      <c r="E190" s="287">
        <v>67278</v>
      </c>
      <c r="F190" s="287">
        <v>3245.1999999999971</v>
      </c>
      <c r="G190" s="133">
        <v>5.0680276358366291E-2</v>
      </c>
      <c r="H190" s="276">
        <v>86475.768726048002</v>
      </c>
      <c r="I190" s="275">
        <v>88539.509522480002</v>
      </c>
      <c r="J190" s="287">
        <v>2063.7407964320009</v>
      </c>
      <c r="K190" s="133">
        <v>2.3864960402605433E-2</v>
      </c>
    </row>
    <row r="191" spans="1:35" ht="15" customHeight="1" x14ac:dyDescent="0.25">
      <c r="A191" s="15">
        <v>912</v>
      </c>
      <c r="B191" s="56" t="s">
        <v>167</v>
      </c>
      <c r="C191" s="285">
        <v>7</v>
      </c>
      <c r="D191" s="286">
        <v>98075.876653712214</v>
      </c>
      <c r="E191" s="287">
        <v>82992</v>
      </c>
      <c r="F191" s="287">
        <v>-15083.876653712214</v>
      </c>
      <c r="G191" s="133">
        <v>-0.15379803034512343</v>
      </c>
      <c r="H191" s="276">
        <v>116578.63665371221</v>
      </c>
      <c r="I191" s="275">
        <v>106243.86299071999</v>
      </c>
      <c r="J191" s="287">
        <v>-10334.773662992215</v>
      </c>
      <c r="K191" s="133">
        <v>-8.8650664990111844E-2</v>
      </c>
    </row>
    <row r="192" spans="1:35" ht="15" customHeight="1" x14ac:dyDescent="0.25">
      <c r="B192" s="62" t="s">
        <v>477</v>
      </c>
      <c r="C192" s="63"/>
      <c r="D192" s="124">
        <v>74090.020369171354</v>
      </c>
      <c r="E192" s="124">
        <v>60421.5</v>
      </c>
      <c r="F192" s="124">
        <v>-13668.520369171354</v>
      </c>
      <c r="G192" s="125">
        <v>-0.18448530991170825</v>
      </c>
      <c r="H192" s="126">
        <v>94437.65681889531</v>
      </c>
      <c r="I192" s="127">
        <v>80814.557278939988</v>
      </c>
      <c r="J192" s="124">
        <v>-13623.099539955321</v>
      </c>
      <c r="K192" s="125">
        <v>-0.14425495081988923</v>
      </c>
    </row>
    <row r="193" spans="1:11" ht="15" customHeight="1" x14ac:dyDescent="0.25"/>
    <row r="194" spans="1:11" ht="15" customHeight="1" x14ac:dyDescent="0.25">
      <c r="B194" s="110" t="s">
        <v>7</v>
      </c>
      <c r="C194" s="533" t="s">
        <v>765</v>
      </c>
      <c r="D194" s="534"/>
      <c r="E194" s="534"/>
      <c r="F194" s="535"/>
      <c r="G194" s="534"/>
      <c r="H194" s="303" t="s">
        <v>435</v>
      </c>
      <c r="I194" s="303"/>
      <c r="J194" s="303"/>
      <c r="K194" s="305"/>
    </row>
    <row r="195" spans="1:11" ht="47.25" x14ac:dyDescent="0.25">
      <c r="B195" s="111" t="s">
        <v>679</v>
      </c>
      <c r="C195" s="113" t="s">
        <v>764</v>
      </c>
      <c r="D195" s="112" t="s">
        <v>763</v>
      </c>
      <c r="E195" s="130" t="s">
        <v>762</v>
      </c>
      <c r="F195" s="130" t="s">
        <v>761</v>
      </c>
      <c r="G195" s="130" t="s">
        <v>736</v>
      </c>
      <c r="H195" s="131" t="s">
        <v>760</v>
      </c>
      <c r="I195" s="130" t="s">
        <v>759</v>
      </c>
      <c r="J195" s="130" t="s">
        <v>758</v>
      </c>
      <c r="K195" s="132" t="s">
        <v>737</v>
      </c>
    </row>
    <row r="196" spans="1:11" ht="15" customHeight="1" x14ac:dyDescent="0.25">
      <c r="A196" s="15">
        <v>1100</v>
      </c>
      <c r="B196" s="56" t="s">
        <v>168</v>
      </c>
      <c r="C196" s="285">
        <v>17</v>
      </c>
      <c r="D196" s="286">
        <v>89327.047457229186</v>
      </c>
      <c r="E196" s="287">
        <v>63258</v>
      </c>
      <c r="F196" s="287">
        <v>-26069.047457229186</v>
      </c>
      <c r="G196" s="133">
        <v>-0.29183823040508916</v>
      </c>
      <c r="H196" s="276">
        <v>112529.99803930677</v>
      </c>
      <c r="I196" s="275">
        <v>84010.331659279997</v>
      </c>
      <c r="J196" s="287">
        <v>-28519.666380026771</v>
      </c>
      <c r="K196" s="133">
        <v>-0.25344056586639985</v>
      </c>
    </row>
    <row r="197" spans="1:11" ht="15" customHeight="1" x14ac:dyDescent="0.25">
      <c r="A197" s="15">
        <v>1101</v>
      </c>
      <c r="B197" s="56" t="s">
        <v>169</v>
      </c>
      <c r="C197" s="285">
        <v>12</v>
      </c>
      <c r="D197" s="286">
        <v>88909.044995980454</v>
      </c>
      <c r="E197" s="287">
        <v>54582</v>
      </c>
      <c r="F197" s="287">
        <v>-34327.044995980454</v>
      </c>
      <c r="G197" s="133">
        <v>-0.38609170751448707</v>
      </c>
      <c r="H197" s="276">
        <v>111463.50693296551</v>
      </c>
      <c r="I197" s="275">
        <v>74235.419435119999</v>
      </c>
      <c r="J197" s="287">
        <v>-37228.08749784551</v>
      </c>
      <c r="K197" s="133">
        <v>-0.33399350623549462</v>
      </c>
    </row>
    <row r="198" spans="1:11" ht="15" customHeight="1" x14ac:dyDescent="0.25">
      <c r="A198" s="15">
        <v>1102</v>
      </c>
      <c r="B198" s="56" t="s">
        <v>170</v>
      </c>
      <c r="C198" s="285">
        <v>16</v>
      </c>
      <c r="D198" s="286">
        <v>89033.205620915032</v>
      </c>
      <c r="E198" s="287">
        <v>89364</v>
      </c>
      <c r="F198" s="287">
        <v>330.79437908496766</v>
      </c>
      <c r="G198" s="133">
        <v>3.7154045704410744E-3</v>
      </c>
      <c r="H198" s="276">
        <v>115755.13385497211</v>
      </c>
      <c r="I198" s="275">
        <v>113422.94790224</v>
      </c>
      <c r="J198" s="287">
        <v>-2332.1859527321067</v>
      </c>
      <c r="K198" s="133">
        <v>-2.0147581148790065E-2</v>
      </c>
    </row>
    <row r="199" spans="1:11" ht="15" customHeight="1" x14ac:dyDescent="0.25">
      <c r="A199" s="15">
        <v>1103</v>
      </c>
      <c r="B199" s="56" t="s">
        <v>171</v>
      </c>
      <c r="C199" s="285">
        <v>14</v>
      </c>
      <c r="D199" s="286">
        <v>64547.600000000006</v>
      </c>
      <c r="E199" s="287">
        <v>50766</v>
      </c>
      <c r="F199" s="287">
        <v>-13781.600000000006</v>
      </c>
      <c r="G199" s="133">
        <v>-0.21351064950517146</v>
      </c>
      <c r="H199" s="276">
        <v>87126.248160640011</v>
      </c>
      <c r="I199" s="275">
        <v>69936.080448559995</v>
      </c>
      <c r="J199" s="287">
        <v>-17190.167712080016</v>
      </c>
      <c r="K199" s="133">
        <v>-0.19730182436394425</v>
      </c>
    </row>
    <row r="200" spans="1:11" ht="15" customHeight="1" x14ac:dyDescent="0.25">
      <c r="A200" s="15">
        <v>1104</v>
      </c>
      <c r="B200" s="56" t="s">
        <v>172</v>
      </c>
      <c r="C200" s="285">
        <v>17</v>
      </c>
      <c r="D200" s="286">
        <v>94793.914122933798</v>
      </c>
      <c r="E200" s="287">
        <v>80970</v>
      </c>
      <c r="F200" s="287">
        <v>-13823.914122933798</v>
      </c>
      <c r="G200" s="133">
        <v>-0.14583124086432606</v>
      </c>
      <c r="H200" s="276">
        <v>118506.08980741266</v>
      </c>
      <c r="I200" s="275">
        <v>103965.75412520001</v>
      </c>
      <c r="J200" s="287">
        <v>-14540.335682212652</v>
      </c>
      <c r="K200" s="133">
        <v>-0.12269694921031088</v>
      </c>
    </row>
    <row r="201" spans="1:11" ht="15" customHeight="1" x14ac:dyDescent="0.25">
      <c r="A201" s="15">
        <v>1105</v>
      </c>
      <c r="B201" s="56" t="s">
        <v>173</v>
      </c>
      <c r="C201" s="285">
        <v>19</v>
      </c>
      <c r="D201" s="286">
        <v>81070.972052807367</v>
      </c>
      <c r="E201" s="287">
        <v>66432</v>
      </c>
      <c r="F201" s="287">
        <v>-14638.972052807367</v>
      </c>
      <c r="G201" s="133">
        <v>-0.18056983507329785</v>
      </c>
      <c r="H201" s="276">
        <v>103384.52305545832</v>
      </c>
      <c r="I201" s="275">
        <v>87586.354181119998</v>
      </c>
      <c r="J201" s="287">
        <v>-15798.168874338327</v>
      </c>
      <c r="K201" s="133">
        <v>-0.15280980564048016</v>
      </c>
    </row>
    <row r="202" spans="1:11" ht="15" customHeight="1" x14ac:dyDescent="0.25">
      <c r="A202" s="15">
        <v>1106</v>
      </c>
      <c r="B202" s="56" t="s">
        <v>174</v>
      </c>
      <c r="C202" s="285">
        <v>23</v>
      </c>
      <c r="D202" s="286">
        <v>79100.274580799407</v>
      </c>
      <c r="E202" s="287">
        <v>69864</v>
      </c>
      <c r="F202" s="287">
        <v>-9236.274580799407</v>
      </c>
      <c r="G202" s="133">
        <v>-0.11676665637063915</v>
      </c>
      <c r="H202" s="276">
        <v>101455.56454411434</v>
      </c>
      <c r="I202" s="275">
        <v>91453.055282240006</v>
      </c>
      <c r="J202" s="287">
        <v>-10002.509261874337</v>
      </c>
      <c r="K202" s="133">
        <v>-9.8590050795342041E-2</v>
      </c>
    </row>
    <row r="203" spans="1:11" ht="15" customHeight="1" x14ac:dyDescent="0.25">
      <c r="A203" s="15">
        <v>1107</v>
      </c>
      <c r="B203" s="56" t="s">
        <v>175</v>
      </c>
      <c r="C203" s="285">
        <v>12</v>
      </c>
      <c r="D203" s="286">
        <v>64314.551406522281</v>
      </c>
      <c r="E203" s="287">
        <v>40938</v>
      </c>
      <c r="F203" s="287">
        <v>-23376.551406522281</v>
      </c>
      <c r="G203" s="133">
        <v>-0.36347219867495822</v>
      </c>
      <c r="H203" s="276">
        <v>85576.618872803214</v>
      </c>
      <c r="I203" s="275">
        <v>58863.254568080003</v>
      </c>
      <c r="J203" s="287">
        <v>-26713.364304723211</v>
      </c>
      <c r="K203" s="133">
        <v>-0.31215727679576372</v>
      </c>
    </row>
    <row r="204" spans="1:11" ht="15" customHeight="1" x14ac:dyDescent="0.25">
      <c r="A204" s="15">
        <v>1108</v>
      </c>
      <c r="B204" s="56" t="s">
        <v>176</v>
      </c>
      <c r="C204" s="285">
        <v>18</v>
      </c>
      <c r="D204" s="286">
        <v>59741.710945862586</v>
      </c>
      <c r="E204" s="287">
        <v>47238</v>
      </c>
      <c r="F204" s="287">
        <v>-12503.710945862586</v>
      </c>
      <c r="G204" s="133">
        <v>-0.20929616423596134</v>
      </c>
      <c r="H204" s="276">
        <v>79611.426074421877</v>
      </c>
      <c r="I204" s="275">
        <v>65961.219876079995</v>
      </c>
      <c r="J204" s="287">
        <v>-13650.206198341883</v>
      </c>
      <c r="K204" s="133">
        <v>-0.17146039044171221</v>
      </c>
    </row>
    <row r="205" spans="1:11" ht="15" customHeight="1" x14ac:dyDescent="0.25">
      <c r="A205" s="15">
        <v>1109</v>
      </c>
      <c r="B205" s="56" t="s">
        <v>177</v>
      </c>
      <c r="C205" s="285">
        <v>21</v>
      </c>
      <c r="D205" s="286">
        <v>81072.054500068203</v>
      </c>
      <c r="E205" s="287">
        <v>58734</v>
      </c>
      <c r="F205" s="287">
        <v>-22338.054500068203</v>
      </c>
      <c r="G205" s="133">
        <v>-0.27553334669777502</v>
      </c>
      <c r="H205" s="276">
        <v>104685.06177909071</v>
      </c>
      <c r="I205" s="275">
        <v>78913.316571439995</v>
      </c>
      <c r="J205" s="287">
        <v>-25771.745207650718</v>
      </c>
      <c r="K205" s="133">
        <v>-0.24618359840141243</v>
      </c>
    </row>
    <row r="206" spans="1:11" ht="15" customHeight="1" x14ac:dyDescent="0.25">
      <c r="A206" s="15">
        <v>1110</v>
      </c>
      <c r="B206" s="56" t="s">
        <v>178</v>
      </c>
      <c r="C206" s="285">
        <v>20</v>
      </c>
      <c r="D206" s="286">
        <v>82756.758857773923</v>
      </c>
      <c r="E206" s="287">
        <v>60228</v>
      </c>
      <c r="F206" s="287">
        <v>-22528.758857773923</v>
      </c>
      <c r="G206" s="133">
        <v>-0.27222862722900898</v>
      </c>
      <c r="H206" s="276">
        <v>105569.05887439311</v>
      </c>
      <c r="I206" s="275">
        <v>80596.548344480005</v>
      </c>
      <c r="J206" s="287">
        <v>-24972.51052991311</v>
      </c>
      <c r="K206" s="133">
        <v>-0.23655141758557871</v>
      </c>
    </row>
    <row r="207" spans="1:11" ht="15" customHeight="1" x14ac:dyDescent="0.25">
      <c r="A207" s="15">
        <v>1111</v>
      </c>
      <c r="B207" s="56" t="s">
        <v>179</v>
      </c>
      <c r="C207" s="285">
        <v>14</v>
      </c>
      <c r="D207" s="286">
        <v>56520.243495389899</v>
      </c>
      <c r="E207" s="287">
        <v>52008</v>
      </c>
      <c r="F207" s="287">
        <v>-4512.2434953898992</v>
      </c>
      <c r="G207" s="133">
        <v>-7.9834112812304889E-2</v>
      </c>
      <c r="H207" s="276">
        <v>77082.472019581051</v>
      </c>
      <c r="I207" s="275">
        <v>71335.39360928</v>
      </c>
      <c r="J207" s="287">
        <v>-5747.0784103010519</v>
      </c>
      <c r="K207" s="133">
        <v>-7.4557525981278044E-2</v>
      </c>
    </row>
    <row r="208" spans="1:11" ht="15" customHeight="1" x14ac:dyDescent="0.25">
      <c r="A208" s="15">
        <v>1112</v>
      </c>
      <c r="B208" s="56" t="s">
        <v>180</v>
      </c>
      <c r="C208" s="285">
        <v>13</v>
      </c>
      <c r="D208" s="286">
        <v>86124.6</v>
      </c>
      <c r="E208" s="287">
        <v>79002</v>
      </c>
      <c r="F208" s="287">
        <v>-7122.6000000000058</v>
      </c>
      <c r="G208" s="133">
        <v>-8.2701109787447546E-2</v>
      </c>
      <c r="H208" s="276">
        <v>108601.55973612309</v>
      </c>
      <c r="I208" s="275">
        <v>101748.48496232</v>
      </c>
      <c r="J208" s="287">
        <v>-6853.0747738030914</v>
      </c>
      <c r="K208" s="133">
        <v>-6.3102912982598902E-2</v>
      </c>
    </row>
    <row r="209" spans="1:11" ht="15" customHeight="1" x14ac:dyDescent="0.25">
      <c r="A209" s="15">
        <v>1113</v>
      </c>
      <c r="B209" s="56" t="s">
        <v>181</v>
      </c>
      <c r="C209" s="285">
        <v>10</v>
      </c>
      <c r="D209" s="286">
        <v>96268</v>
      </c>
      <c r="E209" s="287">
        <v>69864</v>
      </c>
      <c r="F209" s="287">
        <v>-26404</v>
      </c>
      <c r="G209" s="133">
        <v>-0.27427597955706984</v>
      </c>
      <c r="H209" s="276">
        <v>119678.78997955538</v>
      </c>
      <c r="I209" s="275">
        <v>91453.055282240006</v>
      </c>
      <c r="J209" s="287">
        <v>-28225.734697315376</v>
      </c>
      <c r="K209" s="133">
        <v>-0.23584575597845828</v>
      </c>
    </row>
    <row r="210" spans="1:11" ht="15" customHeight="1" x14ac:dyDescent="0.25">
      <c r="A210" s="15">
        <v>1114</v>
      </c>
      <c r="B210" s="56" t="s">
        <v>182</v>
      </c>
      <c r="C210" s="285">
        <v>26</v>
      </c>
      <c r="D210" s="286">
        <v>114900</v>
      </c>
      <c r="E210" s="287">
        <v>82992</v>
      </c>
      <c r="F210" s="287">
        <v>-31908</v>
      </c>
      <c r="G210" s="133">
        <v>-0.27770234986945169</v>
      </c>
      <c r="H210" s="276">
        <v>142870.16314400401</v>
      </c>
      <c r="I210" s="275">
        <v>106243.86299071999</v>
      </c>
      <c r="J210" s="287">
        <v>-36626.300153284014</v>
      </c>
      <c r="K210" s="133">
        <v>-0.25636073584074404</v>
      </c>
    </row>
    <row r="211" spans="1:11" ht="15" customHeight="1" x14ac:dyDescent="0.25">
      <c r="A211" s="15">
        <v>1115</v>
      </c>
      <c r="B211" s="56" t="s">
        <v>183</v>
      </c>
      <c r="C211" s="285">
        <v>11</v>
      </c>
      <c r="D211" s="286">
        <v>110922.2</v>
      </c>
      <c r="E211" s="287">
        <v>87192</v>
      </c>
      <c r="F211" s="287">
        <v>-23730.199999999997</v>
      </c>
      <c r="G211" s="133">
        <v>-0.21393553319353562</v>
      </c>
      <c r="H211" s="276">
        <v>129284.72</v>
      </c>
      <c r="I211" s="275">
        <v>110975.83986272001</v>
      </c>
      <c r="J211" s="287">
        <v>-18308.880137279994</v>
      </c>
      <c r="K211" s="133">
        <v>-0.14161673658944376</v>
      </c>
    </row>
    <row r="212" spans="1:11" ht="15" customHeight="1" x14ac:dyDescent="0.25">
      <c r="A212" s="15">
        <v>1116</v>
      </c>
      <c r="B212" s="56" t="s">
        <v>184</v>
      </c>
      <c r="C212" s="285">
        <v>18</v>
      </c>
      <c r="D212" s="286">
        <v>73800</v>
      </c>
      <c r="E212" s="287">
        <v>58734</v>
      </c>
      <c r="F212" s="287">
        <v>-15066</v>
      </c>
      <c r="G212" s="133">
        <v>-0.20414634146341462</v>
      </c>
      <c r="H212" s="276">
        <v>96217.512253100329</v>
      </c>
      <c r="I212" s="275">
        <v>78913.316571439995</v>
      </c>
      <c r="J212" s="287">
        <v>-17304.195681660334</v>
      </c>
      <c r="K212" s="133">
        <v>-0.17984455507581218</v>
      </c>
    </row>
    <row r="213" spans="1:11" ht="15" customHeight="1" x14ac:dyDescent="0.25">
      <c r="A213" s="15">
        <v>1117</v>
      </c>
      <c r="B213" s="56" t="s">
        <v>185</v>
      </c>
      <c r="C213" s="285">
        <v>18</v>
      </c>
      <c r="D213" s="286">
        <v>98104.73873201145</v>
      </c>
      <c r="E213" s="287">
        <v>82992</v>
      </c>
      <c r="F213" s="287">
        <v>-15112.73873201145</v>
      </c>
      <c r="G213" s="133">
        <v>-0.15404698006784645</v>
      </c>
      <c r="H213" s="276">
        <v>123171.06370300947</v>
      </c>
      <c r="I213" s="275">
        <v>106243.86299071999</v>
      </c>
      <c r="J213" s="287">
        <v>-16927.200712289472</v>
      </c>
      <c r="K213" s="133">
        <v>-0.1374283878322623</v>
      </c>
    </row>
    <row r="214" spans="1:11" ht="15" customHeight="1" x14ac:dyDescent="0.25">
      <c r="A214" s="15">
        <v>1118</v>
      </c>
      <c r="B214" s="56" t="s">
        <v>186</v>
      </c>
      <c r="C214" s="285">
        <v>13</v>
      </c>
      <c r="D214" s="286">
        <v>76820.5</v>
      </c>
      <c r="E214" s="287">
        <v>48336</v>
      </c>
      <c r="F214" s="287">
        <v>-28484.5</v>
      </c>
      <c r="G214" s="133">
        <v>-0.37079295240202809</v>
      </c>
      <c r="H214" s="276">
        <v>98917.973178479995</v>
      </c>
      <c r="I214" s="275">
        <v>67198.293829760005</v>
      </c>
      <c r="J214" s="287">
        <v>-31719.67934871999</v>
      </c>
      <c r="K214" s="133">
        <v>-0.32066649092665328</v>
      </c>
    </row>
    <row r="215" spans="1:11" ht="15" customHeight="1" x14ac:dyDescent="0.25">
      <c r="A215" s="15">
        <v>1119</v>
      </c>
      <c r="B215" s="56" t="s">
        <v>187</v>
      </c>
      <c r="C215" s="285">
        <v>11</v>
      </c>
      <c r="D215" s="286">
        <v>86522.294361253211</v>
      </c>
      <c r="E215" s="287">
        <v>66432</v>
      </c>
      <c r="F215" s="287">
        <v>-20090.294361253211</v>
      </c>
      <c r="G215" s="133">
        <v>-0.23219789199499238</v>
      </c>
      <c r="H215" s="276">
        <v>108078.47649029338</v>
      </c>
      <c r="I215" s="275">
        <v>87586.354181119998</v>
      </c>
      <c r="J215" s="287">
        <v>-20492.122309173385</v>
      </c>
      <c r="K215" s="133">
        <v>-0.18960410041507014</v>
      </c>
    </row>
    <row r="216" spans="1:11" ht="15" customHeight="1" x14ac:dyDescent="0.25">
      <c r="A216" s="15">
        <v>1120</v>
      </c>
      <c r="B216" s="56" t="s">
        <v>188</v>
      </c>
      <c r="C216" s="285">
        <v>7</v>
      </c>
      <c r="D216" s="286">
        <v>108174.05112288136</v>
      </c>
      <c r="E216" s="287">
        <v>106242</v>
      </c>
      <c r="F216" s="287">
        <v>-1932.0511228813557</v>
      </c>
      <c r="G216" s="133">
        <v>-1.7860578418077581E-2</v>
      </c>
      <c r="H216" s="276">
        <v>134613.40946490952</v>
      </c>
      <c r="I216" s="275">
        <v>132438.73496072</v>
      </c>
      <c r="J216" s="287">
        <v>-2174.6745041895192</v>
      </c>
      <c r="K216" s="133">
        <v>-1.6154961922693181E-2</v>
      </c>
    </row>
    <row r="217" spans="1:11" ht="15" customHeight="1" x14ac:dyDescent="0.25">
      <c r="A217" s="15">
        <v>1121</v>
      </c>
      <c r="B217" s="56" t="s">
        <v>189</v>
      </c>
      <c r="C217" s="285">
        <v>12</v>
      </c>
      <c r="D217" s="286">
        <v>110712.3285893533</v>
      </c>
      <c r="E217" s="287">
        <v>82992</v>
      </c>
      <c r="F217" s="287">
        <v>-27720.328589353303</v>
      </c>
      <c r="G217" s="133">
        <v>-0.25038158751200756</v>
      </c>
      <c r="H217" s="276">
        <v>137954.74192052981</v>
      </c>
      <c r="I217" s="275">
        <v>106243.86299071999</v>
      </c>
      <c r="J217" s="287">
        <v>-31710.878929809813</v>
      </c>
      <c r="K217" s="133">
        <v>-0.22986436340171024</v>
      </c>
    </row>
    <row r="218" spans="1:11" ht="15" customHeight="1" x14ac:dyDescent="0.25">
      <c r="A218" s="15">
        <v>1123</v>
      </c>
      <c r="B218" s="56" t="s">
        <v>190</v>
      </c>
      <c r="C218" s="285">
        <v>23</v>
      </c>
      <c r="D218" s="286">
        <v>64723.1175</v>
      </c>
      <c r="E218" s="287">
        <v>48336</v>
      </c>
      <c r="F218" s="287">
        <v>-16387.1175</v>
      </c>
      <c r="G218" s="133">
        <v>-0.25318801276838993</v>
      </c>
      <c r="H218" s="276">
        <v>84962.500319201892</v>
      </c>
      <c r="I218" s="275">
        <v>67198.293829760005</v>
      </c>
      <c r="J218" s="287">
        <v>-17764.206489441887</v>
      </c>
      <c r="K218" s="133">
        <v>-0.20908290625513878</v>
      </c>
    </row>
    <row r="219" spans="1:11" ht="15" customHeight="1" x14ac:dyDescent="0.25">
      <c r="A219" s="15">
        <v>1124</v>
      </c>
      <c r="B219" s="56" t="s">
        <v>191</v>
      </c>
      <c r="C219" s="285">
        <v>20</v>
      </c>
      <c r="D219" s="286">
        <v>78573.2</v>
      </c>
      <c r="E219" s="287">
        <v>68112</v>
      </c>
      <c r="F219" s="287">
        <v>-10461.199999999997</v>
      </c>
      <c r="G219" s="133">
        <v>-0.13313954376301332</v>
      </c>
      <c r="H219" s="276">
        <v>100429.2152008339</v>
      </c>
      <c r="I219" s="275">
        <v>89479.144929920003</v>
      </c>
      <c r="J219" s="287">
        <v>-10950.0702709139</v>
      </c>
      <c r="K219" s="133">
        <v>-0.10903271771084175</v>
      </c>
    </row>
    <row r="220" spans="1:11" ht="15" customHeight="1" x14ac:dyDescent="0.25">
      <c r="A220" s="15">
        <v>1125</v>
      </c>
      <c r="B220" s="56" t="s">
        <v>192</v>
      </c>
      <c r="C220" s="285">
        <v>16</v>
      </c>
      <c r="D220" s="286">
        <v>80675.046339438966</v>
      </c>
      <c r="E220" s="287">
        <v>56838</v>
      </c>
      <c r="F220" s="287">
        <v>-23837.046339438966</v>
      </c>
      <c r="G220" s="133">
        <v>-0.29546988097341742</v>
      </c>
      <c r="H220" s="276">
        <v>102979.51161721426</v>
      </c>
      <c r="I220" s="275">
        <v>76777.167012079997</v>
      </c>
      <c r="J220" s="287">
        <v>-26202.344605134262</v>
      </c>
      <c r="K220" s="133">
        <v>-0.2544423079275337</v>
      </c>
    </row>
    <row r="221" spans="1:11" ht="15" customHeight="1" x14ac:dyDescent="0.25">
      <c r="A221" s="15">
        <v>1126</v>
      </c>
      <c r="B221" s="56" t="s">
        <v>193</v>
      </c>
      <c r="C221" s="285">
        <v>17</v>
      </c>
      <c r="D221" s="286">
        <v>62619.083484853683</v>
      </c>
      <c r="E221" s="287">
        <v>52770</v>
      </c>
      <c r="F221" s="287">
        <v>-9849.0834848536833</v>
      </c>
      <c r="G221" s="133">
        <v>-0.15728565377735018</v>
      </c>
      <c r="H221" s="276">
        <v>82354.452690493679</v>
      </c>
      <c r="I221" s="275">
        <v>72193.909413200003</v>
      </c>
      <c r="J221" s="287">
        <v>-10160.543277293677</v>
      </c>
      <c r="K221" s="133">
        <v>-0.12337576105908024</v>
      </c>
    </row>
    <row r="222" spans="1:11" ht="15" customHeight="1" x14ac:dyDescent="0.25">
      <c r="A222" s="15">
        <v>1127</v>
      </c>
      <c r="B222" s="56" t="s">
        <v>194</v>
      </c>
      <c r="C222" s="285">
        <v>11</v>
      </c>
      <c r="D222" s="286">
        <v>70556.959064327486</v>
      </c>
      <c r="E222" s="287">
        <v>64344</v>
      </c>
      <c r="F222" s="287">
        <v>-6212.959064327486</v>
      </c>
      <c r="G222" s="133">
        <v>-8.8055935895183193E-2</v>
      </c>
      <c r="H222" s="276">
        <v>92937.518403842303</v>
      </c>
      <c r="I222" s="275">
        <v>85233.885679040002</v>
      </c>
      <c r="J222" s="287">
        <v>-7703.6327248023008</v>
      </c>
      <c r="K222" s="133">
        <v>-8.2890450026087747E-2</v>
      </c>
    </row>
    <row r="223" spans="1:11" ht="15" customHeight="1" x14ac:dyDescent="0.25">
      <c r="A223" s="15">
        <v>1128</v>
      </c>
      <c r="B223" s="56" t="s">
        <v>195</v>
      </c>
      <c r="C223" s="285">
        <v>25</v>
      </c>
      <c r="D223" s="286">
        <v>68925.510000000009</v>
      </c>
      <c r="E223" s="287">
        <v>55500</v>
      </c>
      <c r="F223" s="287">
        <v>-13425.510000000009</v>
      </c>
      <c r="G223" s="133">
        <v>-0.19478288952812983</v>
      </c>
      <c r="H223" s="276">
        <v>90801.832793120004</v>
      </c>
      <c r="I223" s="275">
        <v>75269.694380000001</v>
      </c>
      <c r="J223" s="287">
        <v>-15532.138413120003</v>
      </c>
      <c r="K223" s="133">
        <v>-0.17105534035318351</v>
      </c>
    </row>
    <row r="224" spans="1:11" ht="15" customHeight="1" x14ac:dyDescent="0.25">
      <c r="A224" s="15">
        <v>1129</v>
      </c>
      <c r="B224" s="56" t="s">
        <v>196</v>
      </c>
      <c r="C224" s="285">
        <v>25</v>
      </c>
      <c r="D224" s="286">
        <v>73485.350000000006</v>
      </c>
      <c r="E224" s="287">
        <v>64344</v>
      </c>
      <c r="F224" s="287">
        <v>-9141.3500000000058</v>
      </c>
      <c r="G224" s="133">
        <v>-0.12439690360051364</v>
      </c>
      <c r="H224" s="276">
        <v>95163.758472305402</v>
      </c>
      <c r="I224" s="275">
        <v>85233.885679040002</v>
      </c>
      <c r="J224" s="287">
        <v>-9929.8727932654001</v>
      </c>
      <c r="K224" s="133">
        <v>-0.1043451094478913</v>
      </c>
    </row>
    <row r="225" spans="1:11" ht="15" customHeight="1" x14ac:dyDescent="0.25">
      <c r="A225" s="15">
        <v>1130</v>
      </c>
      <c r="B225" s="56" t="s">
        <v>197</v>
      </c>
      <c r="C225" s="285">
        <v>12</v>
      </c>
      <c r="D225" s="286">
        <v>86240.940946124319</v>
      </c>
      <c r="E225" s="287">
        <v>49560</v>
      </c>
      <c r="F225" s="287">
        <v>-36680.940946124319</v>
      </c>
      <c r="G225" s="133">
        <v>-0.42533094541534877</v>
      </c>
      <c r="H225" s="276">
        <v>110463.74909423756</v>
      </c>
      <c r="I225" s="275">
        <v>68577.327089600003</v>
      </c>
      <c r="J225" s="287">
        <v>-41886.422004637556</v>
      </c>
      <c r="K225" s="133">
        <v>-0.37918703962241851</v>
      </c>
    </row>
    <row r="226" spans="1:11" ht="15" customHeight="1" x14ac:dyDescent="0.25">
      <c r="A226" s="15">
        <v>1132</v>
      </c>
      <c r="B226" s="56" t="s">
        <v>198</v>
      </c>
      <c r="C226" s="285">
        <v>15</v>
      </c>
      <c r="D226" s="286">
        <v>72532.38970177235</v>
      </c>
      <c r="E226" s="287">
        <v>42882</v>
      </c>
      <c r="F226" s="287">
        <v>-29650.38970177235</v>
      </c>
      <c r="G226" s="133">
        <v>-0.40878826443860894</v>
      </c>
      <c r="H226" s="276">
        <v>93645.330981811654</v>
      </c>
      <c r="I226" s="275">
        <v>61053.483863119996</v>
      </c>
      <c r="J226" s="287">
        <v>-32591.847118691658</v>
      </c>
      <c r="K226" s="133">
        <v>-0.34803493967063703</v>
      </c>
    </row>
    <row r="227" spans="1:11" ht="15" customHeight="1" x14ac:dyDescent="0.25">
      <c r="A227" s="15">
        <v>1133</v>
      </c>
      <c r="B227" s="56" t="s">
        <v>199</v>
      </c>
      <c r="C227" s="285">
        <v>4</v>
      </c>
      <c r="D227" s="286" t="s">
        <v>684</v>
      </c>
      <c r="E227" s="287" t="s">
        <v>684</v>
      </c>
      <c r="F227" s="287" t="s">
        <v>484</v>
      </c>
      <c r="G227" s="133" t="s">
        <v>484</v>
      </c>
      <c r="H227" s="276" t="s">
        <v>684</v>
      </c>
      <c r="I227" s="275" t="s">
        <v>684</v>
      </c>
      <c r="J227" s="287" t="s">
        <v>484</v>
      </c>
      <c r="K227" s="133" t="s">
        <v>484</v>
      </c>
    </row>
    <row r="228" spans="1:11" ht="15" customHeight="1" x14ac:dyDescent="0.25">
      <c r="A228" s="15">
        <v>1135</v>
      </c>
      <c r="B228" s="56" t="s">
        <v>200</v>
      </c>
      <c r="C228" s="285">
        <v>3</v>
      </c>
      <c r="D228" s="286" t="s">
        <v>684</v>
      </c>
      <c r="E228" s="287" t="s">
        <v>684</v>
      </c>
      <c r="F228" s="287" t="s">
        <v>484</v>
      </c>
      <c r="G228" s="133" t="s">
        <v>484</v>
      </c>
      <c r="H228" s="276" t="s">
        <v>684</v>
      </c>
      <c r="I228" s="275" t="s">
        <v>684</v>
      </c>
      <c r="J228" s="287" t="s">
        <v>484</v>
      </c>
      <c r="K228" s="133" t="s">
        <v>484</v>
      </c>
    </row>
    <row r="229" spans="1:11" ht="15" customHeight="1" x14ac:dyDescent="0.25">
      <c r="A229" s="15">
        <v>1713</v>
      </c>
      <c r="B229" s="56" t="s">
        <v>768</v>
      </c>
      <c r="C229" s="285">
        <v>9</v>
      </c>
      <c r="D229" s="286">
        <v>87516.957153627125</v>
      </c>
      <c r="E229" s="287">
        <v>77082</v>
      </c>
      <c r="F229" s="287">
        <v>-10434.957153627125</v>
      </c>
      <c r="G229" s="133">
        <v>-0.11923354619504901</v>
      </c>
      <c r="H229" s="276">
        <v>111255.69622983724</v>
      </c>
      <c r="I229" s="275">
        <v>99585.295535120007</v>
      </c>
      <c r="J229" s="287">
        <v>-11670.400694717231</v>
      </c>
      <c r="K229" s="133">
        <v>-0.1048971072061602</v>
      </c>
    </row>
    <row r="230" spans="1:11" ht="15" customHeight="1" x14ac:dyDescent="0.25">
      <c r="B230" s="62" t="s">
        <v>477</v>
      </c>
      <c r="C230" s="63"/>
      <c r="D230" s="124">
        <v>82480.770157247665</v>
      </c>
      <c r="E230" s="124">
        <v>64966.5</v>
      </c>
      <c r="F230" s="124">
        <v>-17514.270157247665</v>
      </c>
      <c r="G230" s="125">
        <v>-0.21234367870058823</v>
      </c>
      <c r="H230" s="126">
        <v>105222.73992775196</v>
      </c>
      <c r="I230" s="127">
        <v>85935.232251140013</v>
      </c>
      <c r="J230" s="124">
        <v>-19287.507676611945</v>
      </c>
      <c r="K230" s="125">
        <v>-0.18330170540944984</v>
      </c>
    </row>
    <row r="231" spans="1:11" ht="15" customHeight="1" x14ac:dyDescent="0.25"/>
    <row r="232" spans="1:11" ht="15" customHeight="1" x14ac:dyDescent="0.25">
      <c r="B232" s="110" t="s">
        <v>0</v>
      </c>
      <c r="C232" s="533" t="s">
        <v>765</v>
      </c>
      <c r="D232" s="534"/>
      <c r="E232" s="534"/>
      <c r="F232" s="535"/>
      <c r="G232" s="534"/>
      <c r="H232" s="303" t="s">
        <v>435</v>
      </c>
      <c r="I232" s="303"/>
      <c r="J232" s="303"/>
      <c r="K232" s="305"/>
    </row>
    <row r="233" spans="1:11" ht="47.25" x14ac:dyDescent="0.25">
      <c r="B233" s="111" t="s">
        <v>679</v>
      </c>
      <c r="C233" s="113" t="s">
        <v>764</v>
      </c>
      <c r="D233" s="112" t="s">
        <v>763</v>
      </c>
      <c r="E233" s="130" t="s">
        <v>762</v>
      </c>
      <c r="F233" s="130" t="s">
        <v>761</v>
      </c>
      <c r="G233" s="130" t="s">
        <v>736</v>
      </c>
      <c r="H233" s="131" t="s">
        <v>760</v>
      </c>
      <c r="I233" s="130" t="s">
        <v>759</v>
      </c>
      <c r="J233" s="130" t="s">
        <v>758</v>
      </c>
      <c r="K233" s="132" t="s">
        <v>737</v>
      </c>
    </row>
    <row r="234" spans="1:11" ht="15" customHeight="1" x14ac:dyDescent="0.25">
      <c r="A234" s="15">
        <v>1200</v>
      </c>
      <c r="B234" s="56" t="s">
        <v>201</v>
      </c>
      <c r="C234" s="285">
        <v>21</v>
      </c>
      <c r="D234" s="286">
        <v>76441.452275664124</v>
      </c>
      <c r="E234" s="287">
        <v>63258</v>
      </c>
      <c r="F234" s="287">
        <v>-13183.452275664124</v>
      </c>
      <c r="G234" s="133">
        <v>-0.17246470184948598</v>
      </c>
      <c r="H234" s="276">
        <v>99211.19222696012</v>
      </c>
      <c r="I234" s="275">
        <v>84010.331659279997</v>
      </c>
      <c r="J234" s="287">
        <v>-15200.860567680123</v>
      </c>
      <c r="K234" s="133">
        <v>-0.15321719481916848</v>
      </c>
    </row>
    <row r="235" spans="1:11" ht="15" customHeight="1" x14ac:dyDescent="0.25">
      <c r="A235" s="15">
        <v>1201</v>
      </c>
      <c r="B235" s="56" t="s">
        <v>202</v>
      </c>
      <c r="C235" s="285">
        <v>9</v>
      </c>
      <c r="D235" s="286">
        <v>62636.243137254896</v>
      </c>
      <c r="E235" s="287">
        <v>50766</v>
      </c>
      <c r="F235" s="287">
        <v>-11870.243137254896</v>
      </c>
      <c r="G235" s="133">
        <v>-0.18951077751013282</v>
      </c>
      <c r="H235" s="276">
        <v>85022.807328816692</v>
      </c>
      <c r="I235" s="275">
        <v>69936.080448559995</v>
      </c>
      <c r="J235" s="287">
        <v>-15086.726880256698</v>
      </c>
      <c r="K235" s="133">
        <v>-0.17744329262041866</v>
      </c>
    </row>
    <row r="236" spans="1:11" ht="15" customHeight="1" x14ac:dyDescent="0.25">
      <c r="A236" s="15">
        <v>1202</v>
      </c>
      <c r="B236" s="56" t="s">
        <v>203</v>
      </c>
      <c r="C236" s="285">
        <v>9</v>
      </c>
      <c r="D236" s="286">
        <v>96345.589519650661</v>
      </c>
      <c r="E236" s="287">
        <v>57306</v>
      </c>
      <c r="F236" s="287">
        <v>-39039.589519650661</v>
      </c>
      <c r="G236" s="133">
        <v>-0.4052037017396436</v>
      </c>
      <c r="H236" s="276">
        <v>120690.23879591728</v>
      </c>
      <c r="I236" s="275">
        <v>77304.444434959994</v>
      </c>
      <c r="J236" s="287">
        <v>-43385.794360957283</v>
      </c>
      <c r="K236" s="133">
        <v>-0.35948055777999621</v>
      </c>
    </row>
    <row r="237" spans="1:11" ht="15" customHeight="1" x14ac:dyDescent="0.25">
      <c r="A237" s="15">
        <v>1203</v>
      </c>
      <c r="B237" s="56" t="s">
        <v>204</v>
      </c>
      <c r="C237" s="285">
        <v>15</v>
      </c>
      <c r="D237" s="286">
        <v>97338.155038759694</v>
      </c>
      <c r="E237" s="287">
        <v>77082</v>
      </c>
      <c r="F237" s="287">
        <v>-20256.155038759694</v>
      </c>
      <c r="G237" s="133">
        <v>-0.20810087298956681</v>
      </c>
      <c r="H237" s="276">
        <v>121600.63527070743</v>
      </c>
      <c r="I237" s="275">
        <v>99585.295535120007</v>
      </c>
      <c r="J237" s="287">
        <v>-22015.339735587419</v>
      </c>
      <c r="K237" s="133">
        <v>-0.18104625593918036</v>
      </c>
    </row>
    <row r="238" spans="1:11" ht="15" customHeight="1" x14ac:dyDescent="0.25">
      <c r="A238" s="15">
        <v>1204</v>
      </c>
      <c r="B238" s="56" t="s">
        <v>205</v>
      </c>
      <c r="C238" s="285">
        <v>17</v>
      </c>
      <c r="D238" s="286">
        <v>55036.977018153935</v>
      </c>
      <c r="E238" s="287">
        <v>54582</v>
      </c>
      <c r="F238" s="287">
        <v>-454.97701815393521</v>
      </c>
      <c r="G238" s="133">
        <v>-8.2667516059950225E-3</v>
      </c>
      <c r="H238" s="276">
        <v>76605.186946297588</v>
      </c>
      <c r="I238" s="275">
        <v>74235.419435119999</v>
      </c>
      <c r="J238" s="287">
        <v>-2369.7675111775898</v>
      </c>
      <c r="K238" s="133">
        <v>-3.0934817936530384E-2</v>
      </c>
    </row>
    <row r="239" spans="1:11" ht="15" customHeight="1" x14ac:dyDescent="0.25">
      <c r="A239" s="15">
        <v>1207</v>
      </c>
      <c r="B239" s="56" t="s">
        <v>206</v>
      </c>
      <c r="C239" s="285">
        <v>9</v>
      </c>
      <c r="D239" s="286">
        <v>83400.040951396077</v>
      </c>
      <c r="E239" s="287">
        <v>63258</v>
      </c>
      <c r="F239" s="287">
        <v>-20142.040951396077</v>
      </c>
      <c r="G239" s="133">
        <v>-0.24151116380307855</v>
      </c>
      <c r="H239" s="276">
        <v>107744.69022766269</v>
      </c>
      <c r="I239" s="275">
        <v>84010.331659279997</v>
      </c>
      <c r="J239" s="287">
        <v>-23734.358568382697</v>
      </c>
      <c r="K239" s="133">
        <v>-0.22028332457249078</v>
      </c>
    </row>
    <row r="240" spans="1:11" ht="15" customHeight="1" x14ac:dyDescent="0.25">
      <c r="A240" s="15">
        <v>1208</v>
      </c>
      <c r="B240" s="56" t="s">
        <v>207</v>
      </c>
      <c r="C240" s="285">
        <v>14</v>
      </c>
      <c r="D240" s="286">
        <v>54900</v>
      </c>
      <c r="E240" s="287">
        <v>54582</v>
      </c>
      <c r="F240" s="287">
        <v>-318</v>
      </c>
      <c r="G240" s="133">
        <v>-5.7923497267759567E-3</v>
      </c>
      <c r="H240" s="276">
        <v>74732.96687480218</v>
      </c>
      <c r="I240" s="275">
        <v>74235.419435119999</v>
      </c>
      <c r="J240" s="287">
        <v>-497.54743968218099</v>
      </c>
      <c r="K240" s="133">
        <v>-6.6576701085038787E-3</v>
      </c>
    </row>
    <row r="241" spans="1:35" ht="15" customHeight="1" x14ac:dyDescent="0.25">
      <c r="A241" s="15">
        <v>1209</v>
      </c>
      <c r="B241" s="56" t="s">
        <v>208</v>
      </c>
      <c r="C241" s="285">
        <v>13</v>
      </c>
      <c r="D241" s="286">
        <v>75768.604999999996</v>
      </c>
      <c r="E241" s="287">
        <v>61710</v>
      </c>
      <c r="F241" s="287">
        <v>-14058.604999999996</v>
      </c>
      <c r="G241" s="133">
        <v>-0.18554657301662075</v>
      </c>
      <c r="H241" s="276">
        <v>99476.163869106269</v>
      </c>
      <c r="I241" s="275">
        <v>82266.260183599996</v>
      </c>
      <c r="J241" s="287">
        <v>-17209.903685506273</v>
      </c>
      <c r="K241" s="133">
        <v>-0.17300530113074708</v>
      </c>
    </row>
    <row r="242" spans="1:35" ht="15" customHeight="1" x14ac:dyDescent="0.25">
      <c r="A242" s="15">
        <v>1210</v>
      </c>
      <c r="B242" s="56" t="s">
        <v>209</v>
      </c>
      <c r="C242" s="285">
        <v>14</v>
      </c>
      <c r="D242" s="286">
        <v>89842.899335257142</v>
      </c>
      <c r="E242" s="287">
        <v>82992</v>
      </c>
      <c r="F242" s="287">
        <v>-6850.8993352571415</v>
      </c>
      <c r="G242" s="133">
        <v>-7.625421024862937E-2</v>
      </c>
      <c r="H242" s="276">
        <v>112768.1722377299</v>
      </c>
      <c r="I242" s="275">
        <v>106243.86299071999</v>
      </c>
      <c r="J242" s="287">
        <v>-6524.3092470099073</v>
      </c>
      <c r="K242" s="133">
        <v>-5.7855945676372401E-2</v>
      </c>
    </row>
    <row r="243" spans="1:35" ht="15" customHeight="1" x14ac:dyDescent="0.25">
      <c r="A243" s="15">
        <v>1211</v>
      </c>
      <c r="B243" s="56" t="s">
        <v>210</v>
      </c>
      <c r="C243" s="285">
        <v>16</v>
      </c>
      <c r="D243" s="286">
        <v>112090.46318717682</v>
      </c>
      <c r="E243" s="287">
        <v>80970</v>
      </c>
      <c r="F243" s="287">
        <v>-31120.463187176822</v>
      </c>
      <c r="G243" s="133">
        <v>-0.27763702907721599</v>
      </c>
      <c r="H243" s="276">
        <v>138874.55344333505</v>
      </c>
      <c r="I243" s="275">
        <v>103965.75412520001</v>
      </c>
      <c r="J243" s="287">
        <v>-34908.799318135047</v>
      </c>
      <c r="K243" s="133">
        <v>-0.25136930022517678</v>
      </c>
    </row>
    <row r="244" spans="1:35" ht="15" customHeight="1" x14ac:dyDescent="0.25">
      <c r="A244" s="15">
        <v>1212</v>
      </c>
      <c r="B244" s="56" t="s">
        <v>211</v>
      </c>
      <c r="C244" s="285">
        <v>27</v>
      </c>
      <c r="D244" s="286">
        <v>83757.127067897483</v>
      </c>
      <c r="E244" s="287">
        <v>63258</v>
      </c>
      <c r="F244" s="287">
        <v>-20499.127067897483</v>
      </c>
      <c r="G244" s="133">
        <v>-0.24474486871164913</v>
      </c>
      <c r="H244" s="276">
        <v>107332.11590371659</v>
      </c>
      <c r="I244" s="275">
        <v>84010.331659279997</v>
      </c>
      <c r="J244" s="287">
        <v>-23321.784244436596</v>
      </c>
      <c r="K244" s="133">
        <v>-0.21728616871168038</v>
      </c>
    </row>
    <row r="245" spans="1:35" ht="15" customHeight="1" x14ac:dyDescent="0.25">
      <c r="A245" s="15">
        <v>1213</v>
      </c>
      <c r="B245" s="56" t="s">
        <v>212</v>
      </c>
      <c r="C245" s="285">
        <v>17</v>
      </c>
      <c r="D245" s="286">
        <v>68216.767036463716</v>
      </c>
      <c r="E245" s="287">
        <v>61710</v>
      </c>
      <c r="F245" s="287">
        <v>-6506.7670364637161</v>
      </c>
      <c r="G245" s="133">
        <v>-9.5383691123703832E-2</v>
      </c>
      <c r="H245" s="276">
        <v>89934.632910901448</v>
      </c>
      <c r="I245" s="275">
        <v>82266.260183599996</v>
      </c>
      <c r="J245" s="287">
        <v>-7668.372727301452</v>
      </c>
      <c r="K245" s="133">
        <v>-8.5266070245692063E-2</v>
      </c>
    </row>
    <row r="246" spans="1:35" ht="15" customHeight="1" x14ac:dyDescent="0.25">
      <c r="A246" s="15">
        <v>1214</v>
      </c>
      <c r="B246" s="56" t="s">
        <v>767</v>
      </c>
      <c r="C246" s="285">
        <v>7</v>
      </c>
      <c r="D246" s="286">
        <v>81195.254395036187</v>
      </c>
      <c r="E246" s="287">
        <v>60228</v>
      </c>
      <c r="F246" s="287">
        <v>-20967.254395036187</v>
      </c>
      <c r="G246" s="133">
        <v>-0.25823251064680458</v>
      </c>
      <c r="H246" s="276">
        <v>104484.11521227444</v>
      </c>
      <c r="I246" s="275">
        <v>80596.548344480005</v>
      </c>
      <c r="J246" s="287">
        <v>-23887.566867794434</v>
      </c>
      <c r="K246" s="133">
        <v>-0.22862390918718528</v>
      </c>
    </row>
    <row r="247" spans="1:35" ht="15" customHeight="1" x14ac:dyDescent="0.25">
      <c r="A247" s="15">
        <v>1215</v>
      </c>
      <c r="B247" s="56" t="s">
        <v>213</v>
      </c>
      <c r="C247" s="285">
        <v>14</v>
      </c>
      <c r="D247" s="286">
        <v>77481.08596488992</v>
      </c>
      <c r="E247" s="287">
        <v>58734</v>
      </c>
      <c r="F247" s="287">
        <v>-18747.08596488992</v>
      </c>
      <c r="G247" s="133">
        <v>-0.24195693350742462</v>
      </c>
      <c r="H247" s="276">
        <v>99345.891953496248</v>
      </c>
      <c r="I247" s="275">
        <v>78913.316571439995</v>
      </c>
      <c r="J247" s="287">
        <v>-20432.575382056253</v>
      </c>
      <c r="K247" s="133">
        <v>-0.20567106480478053</v>
      </c>
    </row>
    <row r="248" spans="1:35" ht="15" customHeight="1" x14ac:dyDescent="0.25">
      <c r="A248" s="15">
        <v>1216</v>
      </c>
      <c r="B248" s="56" t="s">
        <v>766</v>
      </c>
      <c r="C248" s="285">
        <v>18</v>
      </c>
      <c r="D248" s="286">
        <v>80764.329215911901</v>
      </c>
      <c r="E248" s="287">
        <v>69864</v>
      </c>
      <c r="F248" s="287">
        <v>-10900.329215911901</v>
      </c>
      <c r="G248" s="133">
        <v>-0.1349646474097671</v>
      </c>
      <c r="H248" s="276">
        <v>103653.87412679018</v>
      </c>
      <c r="I248" s="275">
        <v>91453.055282240006</v>
      </c>
      <c r="J248" s="287">
        <v>-12200.818844550173</v>
      </c>
      <c r="K248" s="133">
        <v>-0.11770731144719243</v>
      </c>
    </row>
    <row r="249" spans="1:35" s="14" customFormat="1" ht="15" customHeight="1" x14ac:dyDescent="0.25">
      <c r="B249" s="62" t="s">
        <v>477</v>
      </c>
      <c r="C249" s="63"/>
      <c r="D249" s="124">
        <v>79680.999276234157</v>
      </c>
      <c r="E249" s="124">
        <v>64020</v>
      </c>
      <c r="F249" s="124">
        <v>-15660.999276234157</v>
      </c>
      <c r="G249" s="125">
        <v>-0.19654622078648107</v>
      </c>
      <c r="H249" s="126">
        <v>102765.14915523426</v>
      </c>
      <c r="I249" s="127">
        <v>84868.847463200014</v>
      </c>
      <c r="J249" s="124">
        <v>-17896.301692034249</v>
      </c>
      <c r="K249" s="125">
        <v>-0.17414757667505137</v>
      </c>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row>
    <row r="250" spans="1:35" ht="15" customHeight="1" x14ac:dyDescent="0.25"/>
    <row r="251" spans="1:35" ht="15" customHeight="1" x14ac:dyDescent="0.25">
      <c r="B251" s="110" t="s">
        <v>8</v>
      </c>
      <c r="C251" s="533" t="s">
        <v>765</v>
      </c>
      <c r="D251" s="534"/>
      <c r="E251" s="534"/>
      <c r="F251" s="535"/>
      <c r="G251" s="534"/>
      <c r="H251" s="303" t="s">
        <v>435</v>
      </c>
      <c r="I251" s="303"/>
      <c r="J251" s="303"/>
      <c r="K251" s="305"/>
    </row>
    <row r="252" spans="1:35" ht="47.25" x14ac:dyDescent="0.25">
      <c r="B252" s="111" t="s">
        <v>679</v>
      </c>
      <c r="C252" s="113" t="s">
        <v>764</v>
      </c>
      <c r="D252" s="112" t="s">
        <v>763</v>
      </c>
      <c r="E252" s="130" t="s">
        <v>762</v>
      </c>
      <c r="F252" s="130" t="s">
        <v>761</v>
      </c>
      <c r="G252" s="130" t="s">
        <v>736</v>
      </c>
      <c r="H252" s="131" t="s">
        <v>760</v>
      </c>
      <c r="I252" s="130" t="s">
        <v>759</v>
      </c>
      <c r="J252" s="130" t="s">
        <v>758</v>
      </c>
      <c r="K252" s="132" t="s">
        <v>737</v>
      </c>
    </row>
    <row r="253" spans="1:35" ht="15" customHeight="1" x14ac:dyDescent="0.25">
      <c r="A253">
        <v>1300</v>
      </c>
      <c r="B253" s="56" t="s">
        <v>214</v>
      </c>
      <c r="C253" s="285">
        <v>18</v>
      </c>
      <c r="D253" s="286">
        <v>93352.39499999999</v>
      </c>
      <c r="E253" s="287">
        <v>66432</v>
      </c>
      <c r="F253" s="287">
        <v>-26920.39499999999</v>
      </c>
      <c r="G253" s="133">
        <v>-0.28837390835018206</v>
      </c>
      <c r="H253" s="276">
        <v>116082.92065615999</v>
      </c>
      <c r="I253" s="275">
        <v>87586.354181119998</v>
      </c>
      <c r="J253" s="287">
        <v>-28496.566475039988</v>
      </c>
      <c r="K253" s="133">
        <v>-0.24548457528431256</v>
      </c>
    </row>
    <row r="254" spans="1:35" ht="15" customHeight="1" x14ac:dyDescent="0.25"/>
    <row r="255" spans="1:35" ht="15" customHeight="1" x14ac:dyDescent="0.25">
      <c r="B255" s="110" t="s">
        <v>52</v>
      </c>
      <c r="C255" s="533" t="s">
        <v>765</v>
      </c>
      <c r="D255" s="534"/>
      <c r="E255" s="534"/>
      <c r="F255" s="535"/>
      <c r="G255" s="534"/>
      <c r="H255" s="303" t="s">
        <v>435</v>
      </c>
      <c r="I255" s="303"/>
      <c r="J255" s="303"/>
      <c r="K255" s="305"/>
    </row>
    <row r="256" spans="1:35" ht="47.25" x14ac:dyDescent="0.25">
      <c r="B256" s="111" t="s">
        <v>679</v>
      </c>
      <c r="C256" s="113" t="s">
        <v>764</v>
      </c>
      <c r="D256" s="112" t="s">
        <v>763</v>
      </c>
      <c r="E256" s="130" t="s">
        <v>762</v>
      </c>
      <c r="F256" s="130" t="s">
        <v>761</v>
      </c>
      <c r="G256" s="130" t="s">
        <v>736</v>
      </c>
      <c r="H256" s="131" t="s">
        <v>760</v>
      </c>
      <c r="I256" s="130" t="s">
        <v>759</v>
      </c>
      <c r="J256" s="130" t="s">
        <v>758</v>
      </c>
      <c r="K256" s="132" t="s">
        <v>737</v>
      </c>
    </row>
    <row r="257" spans="1:35" ht="15" customHeight="1" x14ac:dyDescent="0.25">
      <c r="A257" s="15">
        <v>1400</v>
      </c>
      <c r="B257" s="56" t="s">
        <v>215</v>
      </c>
      <c r="C257" s="285">
        <v>5</v>
      </c>
      <c r="D257" s="286">
        <v>48673</v>
      </c>
      <c r="E257" s="287">
        <v>40938</v>
      </c>
      <c r="F257" s="287">
        <v>-7735</v>
      </c>
      <c r="G257" s="133">
        <v>-0.15891767509707641</v>
      </c>
      <c r="H257" s="276">
        <v>63023.44</v>
      </c>
      <c r="I257" s="275">
        <v>58863.254568080003</v>
      </c>
      <c r="J257" s="287">
        <v>-4160.1854319199992</v>
      </c>
      <c r="K257" s="133">
        <v>-6.6010129436285911E-2</v>
      </c>
    </row>
    <row r="258" spans="1:35" ht="15" customHeight="1" x14ac:dyDescent="0.25">
      <c r="A258" s="15">
        <v>1401</v>
      </c>
      <c r="B258" s="56" t="s">
        <v>216</v>
      </c>
      <c r="C258" s="285">
        <v>9</v>
      </c>
      <c r="D258" s="286">
        <v>66386.878594293536</v>
      </c>
      <c r="E258" s="287">
        <v>57306</v>
      </c>
      <c r="F258" s="287">
        <v>-9080.8785942935356</v>
      </c>
      <c r="G258" s="133">
        <v>-0.1367872505316752</v>
      </c>
      <c r="H258" s="276">
        <v>87849.16954581179</v>
      </c>
      <c r="I258" s="275">
        <v>77304.444434959994</v>
      </c>
      <c r="J258" s="287">
        <v>-10544.725110851796</v>
      </c>
      <c r="K258" s="133">
        <v>-0.12003215471892319</v>
      </c>
    </row>
    <row r="259" spans="1:35" s="14" customFormat="1" ht="15" customHeight="1" x14ac:dyDescent="0.25">
      <c r="B259" s="62" t="s">
        <v>477</v>
      </c>
      <c r="C259" s="63"/>
      <c r="D259" s="124">
        <v>57529.939297146768</v>
      </c>
      <c r="E259" s="124">
        <v>49122</v>
      </c>
      <c r="F259" s="124">
        <v>-8407.9392971467678</v>
      </c>
      <c r="G259" s="125">
        <v>-0.14614893392671743</v>
      </c>
      <c r="H259" s="126">
        <v>75436.304772905889</v>
      </c>
      <c r="I259" s="127">
        <v>68083.849501520002</v>
      </c>
      <c r="J259" s="124">
        <v>-7352.4552713858866</v>
      </c>
      <c r="K259" s="125">
        <v>-9.7465740050759142E-2</v>
      </c>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row>
    <row r="260" spans="1:35" ht="15" customHeight="1" x14ac:dyDescent="0.25"/>
    <row r="261" spans="1:35" ht="15" customHeight="1" x14ac:dyDescent="0.25">
      <c r="B261" s="110" t="s">
        <v>2</v>
      </c>
      <c r="C261" s="533" t="s">
        <v>765</v>
      </c>
      <c r="D261" s="534"/>
      <c r="E261" s="534"/>
      <c r="F261" s="535"/>
      <c r="G261" s="534"/>
      <c r="H261" s="303" t="s">
        <v>435</v>
      </c>
      <c r="I261" s="303"/>
      <c r="J261" s="303"/>
      <c r="K261" s="305"/>
    </row>
    <row r="262" spans="1:35" ht="47.25" x14ac:dyDescent="0.25">
      <c r="B262" s="111" t="s">
        <v>679</v>
      </c>
      <c r="C262" s="113" t="s">
        <v>764</v>
      </c>
      <c r="D262" s="112" t="s">
        <v>763</v>
      </c>
      <c r="E262" s="130" t="s">
        <v>762</v>
      </c>
      <c r="F262" s="130" t="s">
        <v>761</v>
      </c>
      <c r="G262" s="130" t="s">
        <v>736</v>
      </c>
      <c r="H262" s="131" t="s">
        <v>760</v>
      </c>
      <c r="I262" s="130" t="s">
        <v>759</v>
      </c>
      <c r="J262" s="130" t="s">
        <v>758</v>
      </c>
      <c r="K262" s="132" t="s">
        <v>737</v>
      </c>
    </row>
    <row r="263" spans="1:35" ht="15" customHeight="1" x14ac:dyDescent="0.25">
      <c r="A263" s="15">
        <v>1500</v>
      </c>
      <c r="B263" s="56" t="s">
        <v>217</v>
      </c>
      <c r="C263" s="285">
        <v>13</v>
      </c>
      <c r="D263" s="286">
        <v>57135.05</v>
      </c>
      <c r="E263" s="287">
        <v>43554</v>
      </c>
      <c r="F263" s="287">
        <v>-13581.050000000003</v>
      </c>
      <c r="G263" s="133">
        <v>-0.23770085087875134</v>
      </c>
      <c r="H263" s="276">
        <v>77914.429437982384</v>
      </c>
      <c r="I263" s="275">
        <v>61810.600162640003</v>
      </c>
      <c r="J263" s="287">
        <v>-16103.829275342381</v>
      </c>
      <c r="K263" s="133">
        <v>-0.20668609642018312</v>
      </c>
    </row>
    <row r="264" spans="1:35" ht="15" customHeight="1" x14ac:dyDescent="0.25">
      <c r="A264" s="15">
        <v>1502</v>
      </c>
      <c r="B264" s="56" t="s">
        <v>218</v>
      </c>
      <c r="C264" s="285">
        <v>9</v>
      </c>
      <c r="D264" s="286">
        <v>116592.5</v>
      </c>
      <c r="E264" s="287">
        <v>82992</v>
      </c>
      <c r="F264" s="287">
        <v>-33600.5</v>
      </c>
      <c r="G264" s="133">
        <v>-0.28818749061903637</v>
      </c>
      <c r="H264" s="276">
        <v>141622.44625034247</v>
      </c>
      <c r="I264" s="275">
        <v>106243.86299071999</v>
      </c>
      <c r="J264" s="287">
        <v>-35378.583259622479</v>
      </c>
      <c r="K264" s="133">
        <v>-0.2498091524071307</v>
      </c>
    </row>
    <row r="265" spans="1:35" ht="15" customHeight="1" x14ac:dyDescent="0.25">
      <c r="A265" s="15">
        <v>1504</v>
      </c>
      <c r="B265" s="56" t="s">
        <v>219</v>
      </c>
      <c r="C265" s="285">
        <v>15</v>
      </c>
      <c r="D265" s="286">
        <v>96972</v>
      </c>
      <c r="E265" s="287">
        <v>79002</v>
      </c>
      <c r="F265" s="287">
        <v>-17970</v>
      </c>
      <c r="G265" s="133">
        <v>-0.18531122385843335</v>
      </c>
      <c r="H265" s="276">
        <v>123587.08600752</v>
      </c>
      <c r="I265" s="275">
        <v>101748.48496232</v>
      </c>
      <c r="J265" s="287">
        <v>-21838.601045200005</v>
      </c>
      <c r="K265" s="133">
        <v>-0.1767061733607925</v>
      </c>
    </row>
    <row r="266" spans="1:35" ht="15" customHeight="1" x14ac:dyDescent="0.25">
      <c r="A266" s="15">
        <v>1505</v>
      </c>
      <c r="B266" s="56" t="s">
        <v>220</v>
      </c>
      <c r="C266" s="285">
        <v>7</v>
      </c>
      <c r="D266" s="286">
        <v>64277.75</v>
      </c>
      <c r="E266" s="287">
        <v>54096</v>
      </c>
      <c r="F266" s="287">
        <v>-10181.75</v>
      </c>
      <c r="G266" s="133">
        <v>-0.15840240207536824</v>
      </c>
      <c r="H266" s="276">
        <v>85057.129437982381</v>
      </c>
      <c r="I266" s="275">
        <v>73687.862111359995</v>
      </c>
      <c r="J266" s="287">
        <v>-11369.267326622386</v>
      </c>
      <c r="K266" s="133">
        <v>-0.13366624763550303</v>
      </c>
    </row>
    <row r="267" spans="1:35" ht="15" customHeight="1" x14ac:dyDescent="0.25">
      <c r="A267" s="15">
        <v>1506</v>
      </c>
      <c r="B267" s="56" t="s">
        <v>221</v>
      </c>
      <c r="C267" s="285">
        <v>14</v>
      </c>
      <c r="D267" s="286">
        <v>81906.797586932051</v>
      </c>
      <c r="E267" s="287">
        <v>64344</v>
      </c>
      <c r="F267" s="287">
        <v>-17562.797586932051</v>
      </c>
      <c r="G267" s="133">
        <v>-0.21442417606782535</v>
      </c>
      <c r="H267" s="276">
        <v>104479.44825321989</v>
      </c>
      <c r="I267" s="275">
        <v>85233.885679040002</v>
      </c>
      <c r="J267" s="287">
        <v>-19245.562574179887</v>
      </c>
      <c r="K267" s="133">
        <v>-0.18420428989570942</v>
      </c>
    </row>
    <row r="268" spans="1:35" ht="15" customHeight="1" x14ac:dyDescent="0.25">
      <c r="A268" s="15">
        <v>1507</v>
      </c>
      <c r="B268" s="56" t="s">
        <v>222</v>
      </c>
      <c r="C268" s="285">
        <v>12</v>
      </c>
      <c r="D268" s="286">
        <v>70526.121568627452</v>
      </c>
      <c r="E268" s="287">
        <v>68994</v>
      </c>
      <c r="F268" s="287">
        <v>-1532.1215686274518</v>
      </c>
      <c r="G268" s="133">
        <v>-2.1724171619682466E-2</v>
      </c>
      <c r="H268" s="276">
        <v>91429.589768100355</v>
      </c>
      <c r="I268" s="275">
        <v>90472.860073040007</v>
      </c>
      <c r="J268" s="287">
        <v>-956.7296950603486</v>
      </c>
      <c r="K268" s="133">
        <v>-1.0464114489488283E-2</v>
      </c>
    </row>
    <row r="269" spans="1:35" ht="15" customHeight="1" x14ac:dyDescent="0.25">
      <c r="A269" s="15">
        <v>1508</v>
      </c>
      <c r="B269" s="56" t="s">
        <v>223</v>
      </c>
      <c r="C269" s="285">
        <v>8</v>
      </c>
      <c r="D269" s="286">
        <v>71031.71518324608</v>
      </c>
      <c r="E269" s="287">
        <v>50766</v>
      </c>
      <c r="F269" s="287">
        <v>-20265.71518324608</v>
      </c>
      <c r="G269" s="133">
        <v>-0.28530516447427784</v>
      </c>
      <c r="H269" s="276">
        <v>94471.943431394713</v>
      </c>
      <c r="I269" s="275">
        <v>69936.080448559995</v>
      </c>
      <c r="J269" s="287">
        <v>-24535.862982834718</v>
      </c>
      <c r="K269" s="133">
        <v>-0.25971587004190932</v>
      </c>
    </row>
    <row r="270" spans="1:35" ht="15" customHeight="1" x14ac:dyDescent="0.25">
      <c r="A270" s="15">
        <v>1509</v>
      </c>
      <c r="B270" s="56" t="s">
        <v>224</v>
      </c>
      <c r="C270" s="285">
        <v>7</v>
      </c>
      <c r="D270" s="286">
        <v>98387.728910006466</v>
      </c>
      <c r="E270" s="287">
        <v>77082</v>
      </c>
      <c r="F270" s="287">
        <v>-21305.728910006466</v>
      </c>
      <c r="G270" s="133">
        <v>-0.21654864022214035</v>
      </c>
      <c r="H270" s="276">
        <v>121127.42185664483</v>
      </c>
      <c r="I270" s="275">
        <v>99585.295535120007</v>
      </c>
      <c r="J270" s="287">
        <v>-21542.126321524818</v>
      </c>
      <c r="K270" s="133">
        <v>-0.17784681611584269</v>
      </c>
    </row>
    <row r="271" spans="1:35" ht="15" customHeight="1" x14ac:dyDescent="0.25">
      <c r="A271" s="15">
        <v>1510</v>
      </c>
      <c r="B271" s="56" t="s">
        <v>225</v>
      </c>
      <c r="C271" s="285">
        <v>14</v>
      </c>
      <c r="D271" s="286">
        <v>122669.77417943106</v>
      </c>
      <c r="E271" s="287">
        <v>80970</v>
      </c>
      <c r="F271" s="287">
        <v>-41699.774179431057</v>
      </c>
      <c r="G271" s="133">
        <v>-0.33993519967222019</v>
      </c>
      <c r="H271" s="276">
        <v>148446.43393961279</v>
      </c>
      <c r="I271" s="275">
        <v>103965.75412520001</v>
      </c>
      <c r="J271" s="287">
        <v>-44480.679814412782</v>
      </c>
      <c r="K271" s="133">
        <v>-0.29964128227227932</v>
      </c>
    </row>
    <row r="272" spans="1:35" s="14" customFormat="1" ht="15" customHeight="1" x14ac:dyDescent="0.25">
      <c r="B272" s="62" t="s">
        <v>477</v>
      </c>
      <c r="C272" s="63"/>
      <c r="D272" s="124">
        <v>86611.048603138115</v>
      </c>
      <c r="E272" s="124">
        <v>66866.666666666672</v>
      </c>
      <c r="F272" s="124">
        <v>-19744.381936471444</v>
      </c>
      <c r="G272" s="125">
        <v>-0.22796608810202143</v>
      </c>
      <c r="H272" s="126">
        <v>109792.88093142222</v>
      </c>
      <c r="I272" s="127">
        <v>88076.076231999992</v>
      </c>
      <c r="J272" s="124">
        <v>-21716.804699422224</v>
      </c>
      <c r="K272" s="125">
        <v>-0.19779793111528576</v>
      </c>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row>
    <row r="273" spans="1:11" ht="15" customHeight="1" x14ac:dyDescent="0.25"/>
    <row r="274" spans="1:11" ht="15" customHeight="1" x14ac:dyDescent="0.25">
      <c r="B274" s="110" t="s">
        <v>1</v>
      </c>
      <c r="C274" s="533" t="s">
        <v>765</v>
      </c>
      <c r="D274" s="534"/>
      <c r="E274" s="534"/>
      <c r="F274" s="535"/>
      <c r="G274" s="534"/>
      <c r="H274" s="303" t="s">
        <v>435</v>
      </c>
      <c r="I274" s="303"/>
      <c r="J274" s="303"/>
      <c r="K274" s="305"/>
    </row>
    <row r="275" spans="1:11" ht="47.25" x14ac:dyDescent="0.25">
      <c r="B275" s="111" t="s">
        <v>679</v>
      </c>
      <c r="C275" s="113" t="s">
        <v>764</v>
      </c>
      <c r="D275" s="112" t="s">
        <v>763</v>
      </c>
      <c r="E275" s="130" t="s">
        <v>762</v>
      </c>
      <c r="F275" s="130" t="s">
        <v>761</v>
      </c>
      <c r="G275" s="130" t="s">
        <v>736</v>
      </c>
      <c r="H275" s="131" t="s">
        <v>760</v>
      </c>
      <c r="I275" s="130" t="s">
        <v>759</v>
      </c>
      <c r="J275" s="130" t="s">
        <v>758</v>
      </c>
      <c r="K275" s="132" t="s">
        <v>737</v>
      </c>
    </row>
    <row r="276" spans="1:11" ht="15" customHeight="1" x14ac:dyDescent="0.25">
      <c r="A276" s="15">
        <v>1600</v>
      </c>
      <c r="B276" s="56" t="s">
        <v>226</v>
      </c>
      <c r="C276" s="285">
        <v>14</v>
      </c>
      <c r="D276" s="286">
        <v>101397.14523198293</v>
      </c>
      <c r="E276" s="287">
        <v>79002</v>
      </c>
      <c r="F276" s="287">
        <v>-22395.145231982926</v>
      </c>
      <c r="G276" s="133">
        <v>-0.22086563858130195</v>
      </c>
      <c r="H276" s="276">
        <v>126187.1426844384</v>
      </c>
      <c r="I276" s="275">
        <v>101748.48496232</v>
      </c>
      <c r="J276" s="287">
        <v>-24438.657722118398</v>
      </c>
      <c r="K276" s="133">
        <v>-0.19366995085413097</v>
      </c>
    </row>
    <row r="277" spans="1:11" ht="15" customHeight="1" x14ac:dyDescent="0.25">
      <c r="A277" s="15">
        <v>1601</v>
      </c>
      <c r="B277" s="56" t="s">
        <v>227</v>
      </c>
      <c r="C277" s="285">
        <v>5</v>
      </c>
      <c r="D277" s="286">
        <v>116410.18446601943</v>
      </c>
      <c r="E277" s="287">
        <v>96228</v>
      </c>
      <c r="F277" s="287">
        <v>-20182.184466019433</v>
      </c>
      <c r="G277" s="133">
        <v>-0.17337129529169923</v>
      </c>
      <c r="H277" s="276">
        <v>138750.89272567944</v>
      </c>
      <c r="I277" s="275">
        <v>121156.35010447999</v>
      </c>
      <c r="J277" s="287">
        <v>-17594.542621199449</v>
      </c>
      <c r="K277" s="133">
        <v>-0.1268066985052495</v>
      </c>
    </row>
    <row r="278" spans="1:11" ht="15" customHeight="1" x14ac:dyDescent="0.25">
      <c r="A278" s="15">
        <v>1602</v>
      </c>
      <c r="B278" s="56" t="s">
        <v>228</v>
      </c>
      <c r="C278" s="285">
        <v>21</v>
      </c>
      <c r="D278" s="286">
        <v>58642.032902951229</v>
      </c>
      <c r="E278" s="287">
        <v>42540</v>
      </c>
      <c r="F278" s="287">
        <v>-16102.032902951229</v>
      </c>
      <c r="G278" s="133">
        <v>-0.27458176508988102</v>
      </c>
      <c r="H278" s="276">
        <v>79185.181208569877</v>
      </c>
      <c r="I278" s="275">
        <v>60668.165746400002</v>
      </c>
      <c r="J278" s="287">
        <v>-18517.015462169875</v>
      </c>
      <c r="K278" s="133">
        <v>-0.23384445396919615</v>
      </c>
    </row>
    <row r="279" spans="1:11" ht="15" customHeight="1" x14ac:dyDescent="0.25">
      <c r="A279" s="15">
        <v>1603</v>
      </c>
      <c r="B279" s="56" t="s">
        <v>757</v>
      </c>
      <c r="C279" s="285">
        <v>10</v>
      </c>
      <c r="D279" s="286">
        <v>105627.0675</v>
      </c>
      <c r="E279" s="287">
        <v>66432</v>
      </c>
      <c r="F279" s="287">
        <v>-39195.067500000005</v>
      </c>
      <c r="G279" s="133">
        <v>-0.37107029881332265</v>
      </c>
      <c r="H279" s="276">
        <v>132212.22600711661</v>
      </c>
      <c r="I279" s="275">
        <v>87586.354181119998</v>
      </c>
      <c r="J279" s="287">
        <v>-44625.871825996612</v>
      </c>
      <c r="K279" s="133">
        <v>-0.33753211161874341</v>
      </c>
    </row>
    <row r="280" spans="1:11" ht="15" customHeight="1" x14ac:dyDescent="0.25">
      <c r="A280" s="15">
        <v>1604</v>
      </c>
      <c r="B280" s="56" t="s">
        <v>431</v>
      </c>
      <c r="C280" s="285">
        <v>18</v>
      </c>
      <c r="D280" s="286">
        <v>71142.824680769423</v>
      </c>
      <c r="E280" s="287">
        <v>62742</v>
      </c>
      <c r="F280" s="287">
        <v>-8400.8246807694231</v>
      </c>
      <c r="G280" s="133">
        <v>-0.11808393493603081</v>
      </c>
      <c r="H280" s="276">
        <v>91729.263405084537</v>
      </c>
      <c r="I280" s="275">
        <v>83428.974500719996</v>
      </c>
      <c r="J280" s="287">
        <v>-8300.2889043645409</v>
      </c>
      <c r="K280" s="133">
        <v>-9.0486815180339242E-2</v>
      </c>
    </row>
    <row r="281" spans="1:11" ht="15" customHeight="1" x14ac:dyDescent="0.25">
      <c r="A281" s="15">
        <v>1605</v>
      </c>
      <c r="B281" s="56" t="s">
        <v>229</v>
      </c>
      <c r="C281" s="285">
        <v>16</v>
      </c>
      <c r="D281" s="286">
        <v>71255</v>
      </c>
      <c r="E281" s="287">
        <v>67716</v>
      </c>
      <c r="F281" s="287">
        <v>-3539</v>
      </c>
      <c r="G281" s="133">
        <v>-4.9666690056838117E-2</v>
      </c>
      <c r="H281" s="276">
        <v>92675.175893740918</v>
      </c>
      <c r="I281" s="275">
        <v>89032.987110560003</v>
      </c>
      <c r="J281" s="287">
        <v>-3642.1887831809145</v>
      </c>
      <c r="K281" s="133">
        <v>-3.9300586678755904E-2</v>
      </c>
    </row>
    <row r="282" spans="1:11" ht="15" customHeight="1" x14ac:dyDescent="0.25">
      <c r="B282" s="62" t="s">
        <v>477</v>
      </c>
      <c r="C282" s="63"/>
      <c r="D282" s="124">
        <v>87412.375796953842</v>
      </c>
      <c r="E282" s="124">
        <v>69110</v>
      </c>
      <c r="F282" s="124">
        <v>-18302.375796953842</v>
      </c>
      <c r="G282" s="125">
        <v>-0.20937968600084253</v>
      </c>
      <c r="H282" s="126">
        <v>110123.31365410496</v>
      </c>
      <c r="I282" s="127">
        <v>90603.552767600006</v>
      </c>
      <c r="J282" s="124">
        <v>-19519.760886504955</v>
      </c>
      <c r="K282" s="125">
        <v>-0.17725366444943819</v>
      </c>
    </row>
    <row r="283" spans="1:11" ht="15" customHeight="1" x14ac:dyDescent="0.25"/>
    <row r="284" spans="1:11" ht="15" customHeight="1" x14ac:dyDescent="0.25"/>
    <row r="285" spans="1:11" ht="15" customHeight="1" x14ac:dyDescent="0.25"/>
    <row r="286" spans="1:11" ht="15" customHeight="1" x14ac:dyDescent="0.25"/>
    <row r="287" spans="1:11" ht="15" customHeight="1" x14ac:dyDescent="0.25"/>
    <row r="288" spans="1:11"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sheetData>
  <mergeCells count="9">
    <mergeCell ref="V19:Z19"/>
    <mergeCell ref="W53:AB53"/>
    <mergeCell ref="W54:AB54"/>
    <mergeCell ref="W55:AB55"/>
    <mergeCell ref="V20:Z20"/>
    <mergeCell ref="V21:Z21"/>
    <mergeCell ref="V22:Z22"/>
    <mergeCell ref="V23:Z23"/>
    <mergeCell ref="V24:Z24"/>
  </mergeCells>
  <pageMargins left="0.4" right="0.4" top="0.75" bottom="0.75" header="0.3" footer="0.3"/>
  <pageSetup orientation="landscape" horizontalDpi="1200" verticalDpi="1200" r:id="rId1"/>
  <rowBreaks count="1" manualBreakCount="1">
    <brk id="30" max="16383" man="1"/>
  </rowBreaks>
  <colBreaks count="2" manualBreakCount="2">
    <brk id="13" max="1048575" man="1"/>
    <brk id="21"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48A3-4090-4B6E-ACCE-015E4E385FE4}">
  <sheetPr codeName="Sheet10">
    <tabColor theme="6" tint="0.39997558519241921"/>
  </sheetPr>
  <dimension ref="A1:BC449"/>
  <sheetViews>
    <sheetView showGridLines="0" zoomScale="50" zoomScaleNormal="50" zoomScaleSheetLayoutView="85" workbookViewId="0">
      <selection activeCell="J15" sqref="J15"/>
    </sheetView>
  </sheetViews>
  <sheetFormatPr defaultColWidth="9.28515625" defaultRowHeight="15" outlineLevelCol="1" x14ac:dyDescent="0.25"/>
  <cols>
    <col min="1" max="1" width="7.42578125" customWidth="1"/>
    <col min="2" max="2" width="85.28515625" bestFit="1" customWidth="1"/>
    <col min="3" max="3" width="15.42578125" customWidth="1"/>
    <col min="4" max="4" width="20.85546875" style="20" customWidth="1" outlineLevel="1"/>
    <col min="5" max="5" width="21.28515625" style="20" customWidth="1"/>
    <col min="6" max="6" width="22.7109375" style="20" customWidth="1"/>
    <col min="7" max="7" width="27.140625" style="20" customWidth="1"/>
    <col min="8" max="9" width="19.85546875" style="20" customWidth="1"/>
    <col min="10" max="10" width="28.5703125" style="20" customWidth="1"/>
    <col min="11" max="11" width="25.140625" style="20" customWidth="1"/>
    <col min="12" max="12" width="7.7109375" customWidth="1"/>
    <col min="14" max="14" width="70" bestFit="1" customWidth="1"/>
    <col min="15" max="15" width="16.28515625" customWidth="1"/>
    <col min="16" max="16" width="13.28515625" style="20" customWidth="1" outlineLevel="1"/>
    <col min="17" max="17" width="14.28515625" style="20" customWidth="1"/>
    <col min="18" max="18" width="17.140625" style="20" customWidth="1"/>
    <col min="19" max="19" width="13.28515625" style="20" customWidth="1"/>
    <col min="20" max="20" width="22.28515625" style="20" customWidth="1"/>
    <col min="21" max="22" width="15.7109375" style="20" customWidth="1"/>
    <col min="23" max="23" width="25.85546875" style="20" customWidth="1"/>
    <col min="26" max="26" width="57" bestFit="1" customWidth="1"/>
    <col min="27" max="34" width="12.7109375" customWidth="1"/>
    <col min="35" max="35" width="11" customWidth="1"/>
    <col min="36" max="36" width="12.28515625" customWidth="1"/>
    <col min="37" max="37" width="10.85546875" customWidth="1"/>
    <col min="38" max="38" width="11.28515625" customWidth="1"/>
    <col min="39" max="39" width="10.85546875" customWidth="1"/>
    <col min="41" max="41" width="10.85546875" customWidth="1"/>
    <col min="43" max="43" width="3.7109375" customWidth="1"/>
    <col min="44" max="44" width="17.7109375" customWidth="1"/>
    <col min="45" max="45" width="16.7109375" customWidth="1"/>
    <col min="46" max="46" width="15" customWidth="1"/>
    <col min="47" max="47" width="14.42578125" customWidth="1"/>
    <col min="48" max="48" width="5.42578125" customWidth="1"/>
    <col min="49" max="49" width="16.140625" customWidth="1"/>
    <col min="50" max="50" width="15.42578125" customWidth="1"/>
    <col min="51" max="51" width="16" customWidth="1"/>
    <col min="52" max="52" width="14.5703125" customWidth="1"/>
  </cols>
  <sheetData>
    <row r="1" spans="1:52" ht="46.9" customHeight="1" x14ac:dyDescent="0.25">
      <c r="B1" s="154">
        <v>2024</v>
      </c>
      <c r="N1" s="155">
        <v>2022</v>
      </c>
      <c r="W1"/>
      <c r="AI1" s="156" t="s">
        <v>926</v>
      </c>
      <c r="AJ1" s="158"/>
      <c r="AK1" s="159"/>
      <c r="AL1" s="159"/>
      <c r="AM1" s="156" t="s">
        <v>927</v>
      </c>
      <c r="AN1" s="157"/>
      <c r="AO1" s="157"/>
      <c r="AP1" s="157"/>
      <c r="AR1" s="545" t="s">
        <v>932</v>
      </c>
      <c r="AS1" s="546"/>
      <c r="AT1" s="546"/>
      <c r="AU1" s="546"/>
      <c r="AW1" s="545" t="s">
        <v>933</v>
      </c>
      <c r="AX1" s="546"/>
      <c r="AY1" s="546"/>
      <c r="AZ1" s="546"/>
    </row>
    <row r="2" spans="1:52" ht="31.15" customHeight="1" x14ac:dyDescent="0.25">
      <c r="B2" s="302"/>
      <c r="C2" s="302" t="s">
        <v>765</v>
      </c>
      <c r="D2" s="303"/>
      <c r="E2" s="303"/>
      <c r="F2" s="304"/>
      <c r="G2" s="303"/>
      <c r="H2" s="303" t="s">
        <v>435</v>
      </c>
      <c r="I2" s="303"/>
      <c r="J2" s="303"/>
      <c r="K2" s="305"/>
      <c r="N2" s="297"/>
      <c r="O2" s="297" t="s">
        <v>693</v>
      </c>
      <c r="P2" s="296"/>
      <c r="Q2" s="296"/>
      <c r="R2" s="296"/>
      <c r="S2" s="296"/>
      <c r="T2" s="296" t="s">
        <v>700</v>
      </c>
      <c r="U2" s="296"/>
      <c r="V2" s="296"/>
      <c r="W2" s="296"/>
      <c r="Z2" s="156"/>
      <c r="AA2" s="156" t="s">
        <v>691</v>
      </c>
      <c r="AB2" s="526"/>
      <c r="AC2" s="526"/>
      <c r="AD2" s="526"/>
      <c r="AE2" s="526"/>
      <c r="AF2" s="526"/>
      <c r="AG2" s="526"/>
      <c r="AH2" s="526"/>
      <c r="AI2" s="526" t="s">
        <v>693</v>
      </c>
      <c r="AJ2" s="526"/>
      <c r="AK2" s="526" t="s">
        <v>700</v>
      </c>
      <c r="AL2" s="526"/>
      <c r="AM2" s="526" t="s">
        <v>693</v>
      </c>
      <c r="AN2" s="526"/>
      <c r="AO2" s="526" t="s">
        <v>700</v>
      </c>
      <c r="AP2" s="526"/>
      <c r="AR2" s="527" t="s">
        <v>692</v>
      </c>
      <c r="AS2" s="527"/>
      <c r="AT2" s="527" t="s">
        <v>243</v>
      </c>
      <c r="AU2" s="527"/>
      <c r="AV2" s="213"/>
      <c r="AW2" s="527" t="s">
        <v>692</v>
      </c>
      <c r="AX2" s="527"/>
      <c r="AY2" s="527" t="s">
        <v>243</v>
      </c>
      <c r="AZ2" s="527"/>
    </row>
    <row r="3" spans="1:52" ht="78" customHeight="1" x14ac:dyDescent="0.25">
      <c r="B3" s="105" t="s">
        <v>49</v>
      </c>
      <c r="C3" s="106" t="s">
        <v>701</v>
      </c>
      <c r="D3" s="106" t="s">
        <v>733</v>
      </c>
      <c r="E3" s="107" t="s">
        <v>934</v>
      </c>
      <c r="F3" s="107" t="s">
        <v>936</v>
      </c>
      <c r="G3" s="109" t="s">
        <v>734</v>
      </c>
      <c r="H3" s="108" t="s">
        <v>733</v>
      </c>
      <c r="I3" s="107" t="s">
        <v>934</v>
      </c>
      <c r="J3" s="107" t="s">
        <v>936</v>
      </c>
      <c r="K3" s="109" t="s">
        <v>735</v>
      </c>
      <c r="N3" s="160" t="s">
        <v>49</v>
      </c>
      <c r="O3" s="161" t="s">
        <v>701</v>
      </c>
      <c r="P3" s="161" t="s">
        <v>733</v>
      </c>
      <c r="Q3" s="162" t="s">
        <v>698</v>
      </c>
      <c r="R3" s="162" t="s">
        <v>699</v>
      </c>
      <c r="S3" s="162" t="s">
        <v>734</v>
      </c>
      <c r="T3" s="197" t="s">
        <v>733</v>
      </c>
      <c r="U3" s="162" t="s">
        <v>698</v>
      </c>
      <c r="V3" s="162" t="s">
        <v>699</v>
      </c>
      <c r="W3" s="163" t="s">
        <v>735</v>
      </c>
      <c r="Z3" s="205" t="s">
        <v>49</v>
      </c>
      <c r="AA3" s="271" t="s">
        <v>922</v>
      </c>
      <c r="AB3" s="271" t="s">
        <v>923</v>
      </c>
      <c r="AC3" s="271" t="s">
        <v>924</v>
      </c>
      <c r="AD3" s="271" t="s">
        <v>925</v>
      </c>
      <c r="AE3" s="272" t="s">
        <v>928</v>
      </c>
      <c r="AF3" s="272" t="s">
        <v>929</v>
      </c>
      <c r="AG3" s="272" t="s">
        <v>930</v>
      </c>
      <c r="AH3" s="272" t="s">
        <v>931</v>
      </c>
      <c r="AI3" s="273" t="s">
        <v>687</v>
      </c>
      <c r="AJ3" s="273" t="s">
        <v>688</v>
      </c>
      <c r="AK3" s="273" t="s">
        <v>689</v>
      </c>
      <c r="AL3" s="273" t="s">
        <v>690</v>
      </c>
      <c r="AM3" s="218" t="s">
        <v>687</v>
      </c>
      <c r="AN3" s="273" t="s">
        <v>688</v>
      </c>
      <c r="AO3" s="273" t="s">
        <v>689</v>
      </c>
      <c r="AP3" s="273" t="s">
        <v>690</v>
      </c>
      <c r="AR3" s="273" t="s">
        <v>685</v>
      </c>
      <c r="AS3" s="273" t="s">
        <v>686</v>
      </c>
      <c r="AT3" s="273" t="s">
        <v>685</v>
      </c>
      <c r="AU3" s="273" t="s">
        <v>686</v>
      </c>
      <c r="AW3" s="273" t="s">
        <v>685</v>
      </c>
      <c r="AX3" s="273" t="s">
        <v>686</v>
      </c>
      <c r="AY3" s="273" t="s">
        <v>685</v>
      </c>
      <c r="AZ3" s="273" t="s">
        <v>686</v>
      </c>
    </row>
    <row r="4" spans="1:52" ht="15.75" x14ac:dyDescent="0.25">
      <c r="A4" s="31" t="s">
        <v>3</v>
      </c>
      <c r="B4" s="56" t="s">
        <v>3</v>
      </c>
      <c r="C4" s="57">
        <v>15</v>
      </c>
      <c r="D4" s="274">
        <v>68699.923372123172</v>
      </c>
      <c r="E4" s="275">
        <v>52094.400000000001</v>
      </c>
      <c r="F4" s="275">
        <v>-16605.523372123171</v>
      </c>
      <c r="G4" s="147">
        <f t="shared" ref="G4:G20" si="0">IFERROR(F4/E4,"--")</f>
        <v>-0.31875831897714862</v>
      </c>
      <c r="H4" s="276">
        <v>89578.147726520983</v>
      </c>
      <c r="I4" s="275">
        <v>71432.737133503993</v>
      </c>
      <c r="J4" s="275">
        <v>-18145.41059301699</v>
      </c>
      <c r="K4" s="147">
        <f t="shared" ref="K4:K20" si="1">IFERROR(J4/I4,"--")</f>
        <v>-0.25402093383463914</v>
      </c>
      <c r="N4" s="164" t="s">
        <v>3</v>
      </c>
      <c r="O4" s="165">
        <v>15</v>
      </c>
      <c r="P4" s="277">
        <v>63990.766587954378</v>
      </c>
      <c r="Q4" s="277">
        <v>48201.2</v>
      </c>
      <c r="R4" s="277">
        <v>-15789.566587954381</v>
      </c>
      <c r="S4" s="166">
        <v>-0.32757621362029127</v>
      </c>
      <c r="T4" s="278">
        <v>82770.768476514102</v>
      </c>
      <c r="U4" s="277">
        <v>65602.990882736005</v>
      </c>
      <c r="V4" s="277">
        <v>-17167.777593778097</v>
      </c>
      <c r="W4" s="167">
        <v>-0.26169199548333316</v>
      </c>
      <c r="Z4" s="279" t="s">
        <v>3</v>
      </c>
      <c r="AA4" s="280">
        <f t="shared" ref="AA4:AH4" si="2">AA41</f>
        <v>68699.923372123172</v>
      </c>
      <c r="AB4" s="281">
        <f t="shared" si="2"/>
        <v>52094.400000000001</v>
      </c>
      <c r="AC4" s="281">
        <f t="shared" si="2"/>
        <v>89578.147726520983</v>
      </c>
      <c r="AD4" s="281">
        <f t="shared" si="2"/>
        <v>71432.737133503993</v>
      </c>
      <c r="AE4" s="281">
        <f t="shared" si="2"/>
        <v>63990.766587954378</v>
      </c>
      <c r="AF4" s="281">
        <f t="shared" si="2"/>
        <v>48201.2</v>
      </c>
      <c r="AG4" s="281">
        <f t="shared" si="2"/>
        <v>82770.768476514102</v>
      </c>
      <c r="AH4" s="281">
        <f t="shared" si="2"/>
        <v>65602.990882736005</v>
      </c>
      <c r="AI4" s="206">
        <f>AA4-AE4</f>
        <v>4709.1567841687938</v>
      </c>
      <c r="AJ4" s="206">
        <f>AB4-AF4</f>
        <v>3893.2000000000044</v>
      </c>
      <c r="AK4" s="189">
        <f>AC4-AG4</f>
        <v>6807.3792500068812</v>
      </c>
      <c r="AL4" s="189">
        <f>AD4-AH4</f>
        <v>5829.7462507679884</v>
      </c>
      <c r="AM4" s="219">
        <f t="shared" ref="AM4:AP19" si="3">IFERROR(AI4/AE4,"-")</f>
        <v>7.3591191905727937E-2</v>
      </c>
      <c r="AN4" s="214">
        <f t="shared" si="3"/>
        <v>8.0769773366638264E-2</v>
      </c>
      <c r="AO4" s="214">
        <f t="shared" si="3"/>
        <v>8.2243760391549944E-2</v>
      </c>
      <c r="AP4" s="214">
        <f t="shared" si="3"/>
        <v>8.8864031537655652E-2</v>
      </c>
      <c r="AR4" s="159">
        <f>AB4-AA4</f>
        <v>-16605.523372123171</v>
      </c>
      <c r="AS4" s="193">
        <f>AR4/AB4</f>
        <v>-0.31875831897714862</v>
      </c>
      <c r="AT4" s="190">
        <f>AD4-AC4</f>
        <v>-18145.41059301699</v>
      </c>
      <c r="AU4" s="192">
        <f>AT4/AD4</f>
        <v>-0.25402093383463914</v>
      </c>
      <c r="AW4" s="159">
        <f>AF4-AE4</f>
        <v>-15789.566587954381</v>
      </c>
      <c r="AX4" s="193">
        <f>AW4/AF4</f>
        <v>-0.32757621362029127</v>
      </c>
      <c r="AY4" s="190">
        <f>AH4-AG4</f>
        <v>-17167.777593778097</v>
      </c>
      <c r="AZ4" s="192">
        <f>AY4/AH4</f>
        <v>-0.26169199548333316</v>
      </c>
    </row>
    <row r="5" spans="1:52" ht="15.75" x14ac:dyDescent="0.25">
      <c r="A5" s="31" t="s">
        <v>50</v>
      </c>
      <c r="B5" s="58" t="s">
        <v>50</v>
      </c>
      <c r="C5" s="59">
        <v>8</v>
      </c>
      <c r="D5" s="118">
        <v>61970.762707423848</v>
      </c>
      <c r="E5" s="118">
        <v>50628</v>
      </c>
      <c r="F5" s="119">
        <v>-11342.762707423848</v>
      </c>
      <c r="G5" s="148">
        <f t="shared" si="0"/>
        <v>-0.2240412954772823</v>
      </c>
      <c r="H5" s="149">
        <v>83285.092866612686</v>
      </c>
      <c r="I5" s="118">
        <v>69780.601208480002</v>
      </c>
      <c r="J5" s="119">
        <v>-13504.491658132683</v>
      </c>
      <c r="K5" s="148">
        <f t="shared" si="1"/>
        <v>-0.19352787772329436</v>
      </c>
      <c r="N5" s="168" t="s">
        <v>50</v>
      </c>
      <c r="O5" s="169">
        <v>8</v>
      </c>
      <c r="P5" s="170">
        <v>55769.201093599026</v>
      </c>
      <c r="Q5" s="170">
        <v>46925.25</v>
      </c>
      <c r="R5" s="171">
        <v>-8843.9510935990256</v>
      </c>
      <c r="S5" s="172">
        <v>-0.18846891798336771</v>
      </c>
      <c r="T5" s="198">
        <v>75980.956282066632</v>
      </c>
      <c r="U5" s="170">
        <v>64160.118194570008</v>
      </c>
      <c r="V5" s="171">
        <v>-11820.838087496624</v>
      </c>
      <c r="W5" s="173">
        <v>-0.18423965572583756</v>
      </c>
      <c r="Z5" s="279" t="s">
        <v>50</v>
      </c>
      <c r="AA5" s="207">
        <f t="shared" ref="AA5:AH5" si="4">AA56</f>
        <v>61970.762707423848</v>
      </c>
      <c r="AB5" s="207">
        <f t="shared" si="4"/>
        <v>50628</v>
      </c>
      <c r="AC5" s="207">
        <f t="shared" si="4"/>
        <v>83285.092866612686</v>
      </c>
      <c r="AD5" s="207">
        <f t="shared" si="4"/>
        <v>69780.601208480002</v>
      </c>
      <c r="AE5" s="208">
        <f t="shared" si="4"/>
        <v>55769.201093599026</v>
      </c>
      <c r="AF5" s="208">
        <f t="shared" si="4"/>
        <v>46925.25</v>
      </c>
      <c r="AG5" s="208">
        <f t="shared" si="4"/>
        <v>75980.956282066632</v>
      </c>
      <c r="AH5" s="208">
        <f t="shared" si="4"/>
        <v>64160.118194570008</v>
      </c>
      <c r="AI5" s="206">
        <f t="shared" ref="AI5:AL20" si="5">AA5-AE5</f>
        <v>6201.5616138248224</v>
      </c>
      <c r="AJ5" s="206">
        <f t="shared" si="5"/>
        <v>3702.75</v>
      </c>
      <c r="AK5" s="189">
        <f t="shared" si="5"/>
        <v>7304.1365845460532</v>
      </c>
      <c r="AL5" s="189">
        <f t="shared" si="5"/>
        <v>5620.483013909994</v>
      </c>
      <c r="AM5" s="219">
        <f t="shared" si="3"/>
        <v>0.11120047431586058</v>
      </c>
      <c r="AN5" s="214">
        <f t="shared" si="3"/>
        <v>7.8907411255134494E-2</v>
      </c>
      <c r="AO5" s="214">
        <f t="shared" si="3"/>
        <v>9.6131148408170386E-2</v>
      </c>
      <c r="AP5" s="214">
        <f t="shared" si="3"/>
        <v>8.7600883104134719E-2</v>
      </c>
      <c r="AR5" s="159">
        <f t="shared" ref="AR5:AR20" si="6">AB5-AA5</f>
        <v>-11342.762707423848</v>
      </c>
      <c r="AS5" s="193">
        <f t="shared" ref="AS5:AS20" si="7">AR5/AB5</f>
        <v>-0.2240412954772823</v>
      </c>
      <c r="AT5" s="190">
        <f t="shared" ref="AT5:AT20" si="8">AD5-AC5</f>
        <v>-13504.491658132683</v>
      </c>
      <c r="AU5" s="192">
        <f t="shared" ref="AU5:AU20" si="9">AT5/AD5</f>
        <v>-0.19352787772329436</v>
      </c>
      <c r="AW5" s="159">
        <f t="shared" ref="AW5:AW20" si="10">AF5-AE5</f>
        <v>-8843.9510935990256</v>
      </c>
      <c r="AX5" s="193">
        <f t="shared" ref="AX5:AX20" si="11">AW5/AF5</f>
        <v>-0.18846891798336771</v>
      </c>
      <c r="AY5" s="190">
        <f t="shared" ref="AY5:AY20" si="12">AH5-AG5</f>
        <v>-11820.838087496624</v>
      </c>
      <c r="AZ5" s="192">
        <f t="shared" ref="AZ5:AZ20" si="13">AY5/AH5</f>
        <v>-0.18423965572583756</v>
      </c>
    </row>
    <row r="6" spans="1:52" ht="15.75" x14ac:dyDescent="0.25">
      <c r="A6" s="31" t="s">
        <v>239</v>
      </c>
      <c r="B6" s="56" t="s">
        <v>239</v>
      </c>
      <c r="C6" s="57">
        <v>3</v>
      </c>
      <c r="D6" s="274">
        <v>74004.551844536632</v>
      </c>
      <c r="E6" s="274">
        <v>50808</v>
      </c>
      <c r="F6" s="275">
        <v>-23196.551844536632</v>
      </c>
      <c r="G6" s="147">
        <f t="shared" si="0"/>
        <v>-0.4565531381777797</v>
      </c>
      <c r="H6" s="282">
        <v>96047.30482509789</v>
      </c>
      <c r="I6" s="274">
        <v>69983.400217279996</v>
      </c>
      <c r="J6" s="275">
        <v>-26063.904607817894</v>
      </c>
      <c r="K6" s="147">
        <f t="shared" si="1"/>
        <v>-0.37242981231115302</v>
      </c>
      <c r="N6" s="164" t="s">
        <v>239</v>
      </c>
      <c r="O6" s="165">
        <v>3</v>
      </c>
      <c r="P6" s="283">
        <v>65060.417858778244</v>
      </c>
      <c r="Q6" s="283">
        <v>46152</v>
      </c>
      <c r="R6" s="277">
        <v>-18908.417858778244</v>
      </c>
      <c r="S6" s="166">
        <v>-0.40969877489119094</v>
      </c>
      <c r="T6" s="284">
        <v>84447.598751290541</v>
      </c>
      <c r="U6" s="283">
        <v>63285.709866559999</v>
      </c>
      <c r="V6" s="277">
        <v>-21161.888884730542</v>
      </c>
      <c r="W6" s="167">
        <v>-0.33438652942901459</v>
      </c>
      <c r="Z6" s="279" t="s">
        <v>239</v>
      </c>
      <c r="AA6" s="280">
        <f t="shared" ref="AA6:AH6" si="14">AA67</f>
        <v>74004.551844536632</v>
      </c>
      <c r="AB6" s="280">
        <f t="shared" si="14"/>
        <v>50808</v>
      </c>
      <c r="AC6" s="280">
        <f t="shared" si="14"/>
        <v>96047.30482509789</v>
      </c>
      <c r="AD6" s="280">
        <f t="shared" si="14"/>
        <v>69983.400217279996</v>
      </c>
      <c r="AE6" s="280">
        <f t="shared" si="14"/>
        <v>65060.417858778244</v>
      </c>
      <c r="AF6" s="280">
        <f t="shared" si="14"/>
        <v>46152</v>
      </c>
      <c r="AG6" s="280">
        <f t="shared" si="14"/>
        <v>84447.598751290541</v>
      </c>
      <c r="AH6" s="280">
        <f t="shared" si="14"/>
        <v>63285.709866559999</v>
      </c>
      <c r="AI6" s="206">
        <f t="shared" si="5"/>
        <v>8944.133985758388</v>
      </c>
      <c r="AJ6" s="206">
        <f t="shared" si="5"/>
        <v>4656</v>
      </c>
      <c r="AK6" s="189">
        <f t="shared" si="5"/>
        <v>11599.706073807349</v>
      </c>
      <c r="AL6" s="189">
        <f t="shared" si="5"/>
        <v>6697.6903507199968</v>
      </c>
      <c r="AM6" s="219">
        <f t="shared" si="3"/>
        <v>0.13747427821894331</v>
      </c>
      <c r="AN6" s="214">
        <f t="shared" si="3"/>
        <v>0.10088403536141445</v>
      </c>
      <c r="AO6" s="214">
        <f t="shared" si="3"/>
        <v>0.13735980945971044</v>
      </c>
      <c r="AP6" s="214">
        <f t="shared" si="3"/>
        <v>0.10583258629542588</v>
      </c>
      <c r="AR6" s="159">
        <f t="shared" si="6"/>
        <v>-23196.551844536632</v>
      </c>
      <c r="AS6" s="193">
        <f t="shared" si="7"/>
        <v>-0.4565531381777797</v>
      </c>
      <c r="AT6" s="190">
        <f t="shared" si="8"/>
        <v>-26063.904607817894</v>
      </c>
      <c r="AU6" s="192">
        <f t="shared" si="9"/>
        <v>-0.37242981231115302</v>
      </c>
      <c r="AW6" s="159">
        <f t="shared" si="10"/>
        <v>-18908.417858778244</v>
      </c>
      <c r="AX6" s="193">
        <f t="shared" si="11"/>
        <v>-0.40969877489119094</v>
      </c>
      <c r="AY6" s="190">
        <f t="shared" si="12"/>
        <v>-21161.888884730542</v>
      </c>
      <c r="AZ6" s="192">
        <f t="shared" si="13"/>
        <v>-0.33438652942901459</v>
      </c>
    </row>
    <row r="7" spans="1:52" ht="15.75" x14ac:dyDescent="0.25">
      <c r="A7" s="31" t="s">
        <v>4</v>
      </c>
      <c r="B7" s="58" t="s">
        <v>4</v>
      </c>
      <c r="C7" s="59">
        <v>12</v>
      </c>
      <c r="D7" s="118">
        <v>79264.765507097763</v>
      </c>
      <c r="E7" s="118">
        <v>62806</v>
      </c>
      <c r="F7" s="119">
        <v>-16458.765507097763</v>
      </c>
      <c r="G7" s="148">
        <f t="shared" si="0"/>
        <v>-0.26205721598410603</v>
      </c>
      <c r="H7" s="149">
        <v>101954.01044954312</v>
      </c>
      <c r="I7" s="118">
        <v>83501.080814959991</v>
      </c>
      <c r="J7" s="119">
        <v>-18452.929634583124</v>
      </c>
      <c r="K7" s="148">
        <f t="shared" si="1"/>
        <v>-0.22099030880181267</v>
      </c>
      <c r="N7" s="168" t="s">
        <v>4</v>
      </c>
      <c r="O7" s="169">
        <v>11</v>
      </c>
      <c r="P7" s="170">
        <v>72719.796662327557</v>
      </c>
      <c r="Q7" s="170">
        <v>55068</v>
      </c>
      <c r="R7" s="171">
        <v>-17651.796662327557</v>
      </c>
      <c r="S7" s="172">
        <v>-0.32054544676268537</v>
      </c>
      <c r="T7" s="198">
        <v>93022.101408325281</v>
      </c>
      <c r="U7" s="170">
        <v>73368.121315040014</v>
      </c>
      <c r="V7" s="171">
        <v>-19653.980093285267</v>
      </c>
      <c r="W7" s="173">
        <v>-0.2678817412932219</v>
      </c>
      <c r="Z7" s="279" t="s">
        <v>4</v>
      </c>
      <c r="AA7" s="207">
        <f t="shared" ref="AA7:AH7" si="15">AA85</f>
        <v>78496.501010862441</v>
      </c>
      <c r="AB7" s="207">
        <f t="shared" si="15"/>
        <v>60240</v>
      </c>
      <c r="AC7" s="207">
        <f t="shared" si="15"/>
        <v>100973.13877648619</v>
      </c>
      <c r="AD7" s="207">
        <f t="shared" si="15"/>
        <v>80610.068278399995</v>
      </c>
      <c r="AE7" s="208">
        <f t="shared" si="15"/>
        <v>72719.796662327557</v>
      </c>
      <c r="AF7" s="208">
        <f t="shared" si="15"/>
        <v>55068</v>
      </c>
      <c r="AG7" s="208">
        <f t="shared" si="15"/>
        <v>93022.101408325281</v>
      </c>
      <c r="AH7" s="208">
        <f t="shared" si="15"/>
        <v>73368.121315040014</v>
      </c>
      <c r="AI7" s="206">
        <f t="shared" si="5"/>
        <v>5776.704348534884</v>
      </c>
      <c r="AJ7" s="206">
        <f t="shared" si="5"/>
        <v>5172</v>
      </c>
      <c r="AK7" s="189">
        <f t="shared" si="5"/>
        <v>7951.0373681609053</v>
      </c>
      <c r="AL7" s="189">
        <f t="shared" si="5"/>
        <v>7241.9469633599801</v>
      </c>
      <c r="AM7" s="219">
        <f t="shared" si="3"/>
        <v>7.9437850677152699E-2</v>
      </c>
      <c r="AN7" s="214">
        <f t="shared" si="3"/>
        <v>9.392024406188712E-2</v>
      </c>
      <c r="AO7" s="214">
        <f t="shared" si="3"/>
        <v>8.5474712436987635E-2</v>
      </c>
      <c r="AP7" s="214">
        <f t="shared" si="3"/>
        <v>9.870699744734264E-2</v>
      </c>
      <c r="AR7" s="159">
        <f t="shared" si="6"/>
        <v>-18256.501010862441</v>
      </c>
      <c r="AS7" s="193">
        <f t="shared" si="7"/>
        <v>-0.30306276578456909</v>
      </c>
      <c r="AT7" s="190">
        <f t="shared" si="8"/>
        <v>-20363.070498086192</v>
      </c>
      <c r="AU7" s="192">
        <f t="shared" si="9"/>
        <v>-0.25261199913339627</v>
      </c>
      <c r="AW7" s="159">
        <f t="shared" si="10"/>
        <v>-17651.796662327557</v>
      </c>
      <c r="AX7" s="193">
        <f t="shared" si="11"/>
        <v>-0.32054544676268537</v>
      </c>
      <c r="AY7" s="190">
        <f t="shared" si="12"/>
        <v>-19653.980093285267</v>
      </c>
      <c r="AZ7" s="192">
        <f t="shared" si="13"/>
        <v>-0.2678817412932219</v>
      </c>
    </row>
    <row r="8" spans="1:52" ht="15.75" x14ac:dyDescent="0.25">
      <c r="A8" s="31" t="s">
        <v>240</v>
      </c>
      <c r="B8" s="56" t="s">
        <v>240</v>
      </c>
      <c r="C8" s="57">
        <v>5</v>
      </c>
      <c r="D8" s="274">
        <v>64731.374658623616</v>
      </c>
      <c r="E8" s="274">
        <v>57182.400000000001</v>
      </c>
      <c r="F8" s="275">
        <v>-7548.9746586236142</v>
      </c>
      <c r="G8" s="147">
        <f t="shared" si="0"/>
        <v>-0.13201570166036428</v>
      </c>
      <c r="H8" s="282">
        <v>84319.60716063586</v>
      </c>
      <c r="I8" s="274">
        <v>77165.189115584013</v>
      </c>
      <c r="J8" s="275">
        <v>-7154.418045051847</v>
      </c>
      <c r="K8" s="147">
        <f t="shared" si="1"/>
        <v>-9.2715616031672055E-2</v>
      </c>
      <c r="N8" s="164" t="s">
        <v>240</v>
      </c>
      <c r="O8" s="165">
        <v>5</v>
      </c>
      <c r="P8" s="283">
        <v>60335.708840941894</v>
      </c>
      <c r="Q8" s="283">
        <v>52767.6</v>
      </c>
      <c r="R8" s="277">
        <v>-7568.1088409418953</v>
      </c>
      <c r="S8" s="166">
        <v>-0.14342340453122551</v>
      </c>
      <c r="T8" s="284">
        <v>78170.959579770541</v>
      </c>
      <c r="U8" s="283">
        <v>70766.777742128004</v>
      </c>
      <c r="V8" s="277">
        <v>-7404.1818376425363</v>
      </c>
      <c r="W8" s="167">
        <v>-0.10462793522439513</v>
      </c>
      <c r="Z8" s="279" t="s">
        <v>240</v>
      </c>
      <c r="AA8" s="280">
        <f t="shared" ref="AA8:AH8" si="16">AA95</f>
        <v>64731.374658623616</v>
      </c>
      <c r="AB8" s="280">
        <f t="shared" si="16"/>
        <v>57182.400000000001</v>
      </c>
      <c r="AC8" s="280">
        <f t="shared" si="16"/>
        <v>84319.60716063586</v>
      </c>
      <c r="AD8" s="280">
        <f t="shared" si="16"/>
        <v>77165.189115584013</v>
      </c>
      <c r="AE8" s="280">
        <f t="shared" si="16"/>
        <v>60335.708840941894</v>
      </c>
      <c r="AF8" s="280">
        <f t="shared" si="16"/>
        <v>52767.6</v>
      </c>
      <c r="AG8" s="280">
        <f t="shared" si="16"/>
        <v>78170.959579770541</v>
      </c>
      <c r="AH8" s="280">
        <f t="shared" si="16"/>
        <v>70766.777742128004</v>
      </c>
      <c r="AI8" s="206">
        <f t="shared" si="5"/>
        <v>4395.6658176817218</v>
      </c>
      <c r="AJ8" s="206">
        <f t="shared" si="5"/>
        <v>4414.8000000000029</v>
      </c>
      <c r="AK8" s="189">
        <f t="shared" si="5"/>
        <v>6148.6475808653195</v>
      </c>
      <c r="AL8" s="189">
        <f t="shared" si="5"/>
        <v>6398.4113734560087</v>
      </c>
      <c r="AM8" s="219">
        <f t="shared" si="3"/>
        <v>7.2853471055915775E-2</v>
      </c>
      <c r="AN8" s="214">
        <f t="shared" si="3"/>
        <v>8.3664976235417243E-2</v>
      </c>
      <c r="AO8" s="214">
        <f t="shared" si="3"/>
        <v>7.8656416832018738E-2</v>
      </c>
      <c r="AP8" s="214">
        <f t="shared" si="3"/>
        <v>9.0415468636591403E-2</v>
      </c>
      <c r="AR8" s="159">
        <f t="shared" si="6"/>
        <v>-7548.9746586236142</v>
      </c>
      <c r="AS8" s="193">
        <f t="shared" si="7"/>
        <v>-0.13201570166036428</v>
      </c>
      <c r="AT8" s="190">
        <f t="shared" si="8"/>
        <v>-7154.418045051847</v>
      </c>
      <c r="AU8" s="192">
        <f t="shared" si="9"/>
        <v>-9.2715616031672055E-2</v>
      </c>
      <c r="AW8" s="159">
        <f t="shared" si="10"/>
        <v>-7568.1088409418953</v>
      </c>
      <c r="AX8" s="193">
        <f t="shared" si="11"/>
        <v>-0.14342340453122551</v>
      </c>
      <c r="AY8" s="190">
        <f t="shared" si="12"/>
        <v>-7404.1818376425363</v>
      </c>
      <c r="AZ8" s="192">
        <f t="shared" si="13"/>
        <v>-0.10462793522439513</v>
      </c>
    </row>
    <row r="9" spans="1:52" ht="15.75" x14ac:dyDescent="0.25">
      <c r="A9" s="31" t="s">
        <v>5</v>
      </c>
      <c r="B9" s="58" t="s">
        <v>5</v>
      </c>
      <c r="C9" s="59">
        <v>14</v>
      </c>
      <c r="D9" s="118">
        <v>80426.38419749793</v>
      </c>
      <c r="E9" s="118">
        <v>66680.571428571435</v>
      </c>
      <c r="F9" s="119">
        <v>-13745.812768926495</v>
      </c>
      <c r="G9" s="148">
        <f t="shared" si="0"/>
        <v>-0.20614419574449927</v>
      </c>
      <c r="H9" s="149">
        <v>103811.90133094098</v>
      </c>
      <c r="I9" s="118">
        <v>87866.409955177136</v>
      </c>
      <c r="J9" s="119">
        <v>-15945.491375763842</v>
      </c>
      <c r="K9" s="148">
        <f t="shared" si="1"/>
        <v>-0.18147425601999714</v>
      </c>
      <c r="N9" s="168" t="s">
        <v>5</v>
      </c>
      <c r="O9" s="169">
        <v>13</v>
      </c>
      <c r="P9" s="170">
        <v>71738.693383071703</v>
      </c>
      <c r="Q9" s="170">
        <v>59237.538461538461</v>
      </c>
      <c r="R9" s="171">
        <v>-12501.154921533242</v>
      </c>
      <c r="S9" s="172">
        <v>-0.21103434150374001</v>
      </c>
      <c r="T9" s="198">
        <v>93394.341407730928</v>
      </c>
      <c r="U9" s="170">
        <v>78083.128304664613</v>
      </c>
      <c r="V9" s="171">
        <v>-15311.213103066315</v>
      </c>
      <c r="W9" s="173">
        <v>-0.19608862292664622</v>
      </c>
      <c r="Z9" s="279" t="s">
        <v>5</v>
      </c>
      <c r="AA9" s="207">
        <f t="shared" ref="AA9:AH9" si="17">AA115</f>
        <v>77262.694084809933</v>
      </c>
      <c r="AB9" s="207">
        <f t="shared" si="17"/>
        <v>64219.384615384617</v>
      </c>
      <c r="AC9" s="207">
        <f t="shared" si="17"/>
        <v>100252.30468888253</v>
      </c>
      <c r="AD9" s="207">
        <f t="shared" si="17"/>
        <v>85093.486365255405</v>
      </c>
      <c r="AE9" s="208">
        <f t="shared" si="17"/>
        <v>71738.693383071703</v>
      </c>
      <c r="AF9" s="208">
        <f t="shared" si="17"/>
        <v>59237.538461538461</v>
      </c>
      <c r="AG9" s="208">
        <f t="shared" si="17"/>
        <v>93394.341407730928</v>
      </c>
      <c r="AH9" s="208">
        <f t="shared" si="17"/>
        <v>78083.128304664613</v>
      </c>
      <c r="AI9" s="206">
        <f t="shared" si="5"/>
        <v>5524.0007017382304</v>
      </c>
      <c r="AJ9" s="206">
        <f t="shared" si="5"/>
        <v>4981.8461538461561</v>
      </c>
      <c r="AK9" s="189">
        <f t="shared" si="5"/>
        <v>6857.9632811516058</v>
      </c>
      <c r="AL9" s="189">
        <f t="shared" si="5"/>
        <v>7010.3580605907919</v>
      </c>
      <c r="AM9" s="219">
        <f t="shared" si="3"/>
        <v>7.7001691015489523E-2</v>
      </c>
      <c r="AN9" s="214">
        <f t="shared" si="3"/>
        <v>8.409947954000066E-2</v>
      </c>
      <c r="AO9" s="214">
        <f t="shared" si="3"/>
        <v>7.3430179792283667E-2</v>
      </c>
      <c r="AP9" s="214">
        <f t="shared" si="3"/>
        <v>8.9780701834047794E-2</v>
      </c>
      <c r="AR9" s="159">
        <f t="shared" si="6"/>
        <v>-13043.309469425316</v>
      </c>
      <c r="AS9" s="193">
        <f t="shared" si="7"/>
        <v>-0.20310548828119129</v>
      </c>
      <c r="AT9" s="190">
        <f t="shared" si="8"/>
        <v>-15158.818323627129</v>
      </c>
      <c r="AU9" s="192">
        <f t="shared" si="9"/>
        <v>-0.17814311025592952</v>
      </c>
      <c r="AW9" s="159">
        <f t="shared" si="10"/>
        <v>-12501.154921533242</v>
      </c>
      <c r="AX9" s="193">
        <f t="shared" si="11"/>
        <v>-0.21103434150374001</v>
      </c>
      <c r="AY9" s="190">
        <f t="shared" si="12"/>
        <v>-15311.213103066315</v>
      </c>
      <c r="AZ9" s="192">
        <f t="shared" si="13"/>
        <v>-0.19608862292664622</v>
      </c>
    </row>
    <row r="10" spans="1:52" ht="15.75" x14ac:dyDescent="0.25">
      <c r="A10" s="31" t="s">
        <v>6</v>
      </c>
      <c r="B10" s="56" t="s">
        <v>6</v>
      </c>
      <c r="C10" s="57">
        <v>35</v>
      </c>
      <c r="D10" s="274">
        <v>94140.919601103014</v>
      </c>
      <c r="E10" s="274">
        <v>80013.428571428565</v>
      </c>
      <c r="F10" s="275">
        <v>-14127.491029674449</v>
      </c>
      <c r="G10" s="147">
        <f t="shared" si="0"/>
        <v>-0.17656400034230174</v>
      </c>
      <c r="H10" s="282">
        <v>116163.15314455031</v>
      </c>
      <c r="I10" s="274">
        <v>102888.02224986284</v>
      </c>
      <c r="J10" s="275">
        <v>-13275.130894687463</v>
      </c>
      <c r="K10" s="147">
        <f t="shared" si="1"/>
        <v>-0.12902503716563724</v>
      </c>
      <c r="N10" s="164" t="s">
        <v>6</v>
      </c>
      <c r="O10" s="165">
        <v>35</v>
      </c>
      <c r="P10" s="283">
        <v>85375.790541908238</v>
      </c>
      <c r="Q10" s="283">
        <v>72113.657142857148</v>
      </c>
      <c r="R10" s="277">
        <v>-13262.13339905109</v>
      </c>
      <c r="S10" s="166">
        <v>-0.18390598847010081</v>
      </c>
      <c r="T10" s="284">
        <v>104938.18266189091</v>
      </c>
      <c r="U10" s="283">
        <v>92643.730189423994</v>
      </c>
      <c r="V10" s="277">
        <v>-12294.452472466917</v>
      </c>
      <c r="W10" s="167">
        <v>-0.13270679459180956</v>
      </c>
      <c r="Z10" s="279" t="s">
        <v>6</v>
      </c>
      <c r="AA10" s="280">
        <f t="shared" ref="AA10:AH10" si="18">AA168</f>
        <v>94140.919601103014</v>
      </c>
      <c r="AB10" s="280">
        <f t="shared" si="18"/>
        <v>80013.428571428565</v>
      </c>
      <c r="AC10" s="280">
        <f t="shared" si="18"/>
        <v>116163.15314455031</v>
      </c>
      <c r="AD10" s="280">
        <f t="shared" si="18"/>
        <v>102888.02224986284</v>
      </c>
      <c r="AE10" s="280">
        <f t="shared" si="18"/>
        <v>85375.790541908238</v>
      </c>
      <c r="AF10" s="280">
        <f t="shared" si="18"/>
        <v>72113.657142857148</v>
      </c>
      <c r="AG10" s="280">
        <f t="shared" si="18"/>
        <v>104938.18266189091</v>
      </c>
      <c r="AH10" s="280">
        <f t="shared" si="18"/>
        <v>92643.730189423994</v>
      </c>
      <c r="AI10" s="206">
        <f t="shared" si="5"/>
        <v>8765.1290591947763</v>
      </c>
      <c r="AJ10" s="206">
        <f t="shared" si="5"/>
        <v>7899.7714285714173</v>
      </c>
      <c r="AK10" s="189">
        <f t="shared" si="5"/>
        <v>11224.970482659395</v>
      </c>
      <c r="AL10" s="189">
        <f t="shared" si="5"/>
        <v>10244.292060438849</v>
      </c>
      <c r="AM10" s="219">
        <f t="shared" si="3"/>
        <v>0.102665275525528</v>
      </c>
      <c r="AN10" s="214">
        <f t="shared" si="3"/>
        <v>0.1095461212419441</v>
      </c>
      <c r="AO10" s="214">
        <f t="shared" si="3"/>
        <v>0.10696745643886424</v>
      </c>
      <c r="AP10" s="214">
        <f t="shared" si="3"/>
        <v>0.1105772839618273</v>
      </c>
      <c r="AR10" s="159">
        <f t="shared" si="6"/>
        <v>-14127.491029674449</v>
      </c>
      <c r="AS10" s="193">
        <f t="shared" si="7"/>
        <v>-0.17656400034230174</v>
      </c>
      <c r="AT10" s="190">
        <f t="shared" si="8"/>
        <v>-13275.130894687463</v>
      </c>
      <c r="AU10" s="192">
        <f t="shared" si="9"/>
        <v>-0.12902503716563724</v>
      </c>
      <c r="AW10" s="159">
        <f t="shared" si="10"/>
        <v>-13262.13339905109</v>
      </c>
      <c r="AX10" s="193">
        <f t="shared" si="11"/>
        <v>-0.18390598847010081</v>
      </c>
      <c r="AY10" s="190">
        <f t="shared" si="12"/>
        <v>-12294.452472466917</v>
      </c>
      <c r="AZ10" s="192">
        <f t="shared" si="13"/>
        <v>-0.13270679459180956</v>
      </c>
    </row>
    <row r="11" spans="1:52" ht="15.75" x14ac:dyDescent="0.25">
      <c r="A11" s="31" t="s">
        <v>587</v>
      </c>
      <c r="B11" s="83" t="s">
        <v>645</v>
      </c>
      <c r="C11" s="59">
        <v>3</v>
      </c>
      <c r="D11" s="118">
        <v>52372.637979309737</v>
      </c>
      <c r="E11" s="118">
        <v>47116</v>
      </c>
      <c r="F11" s="119">
        <v>-5256.6379793097367</v>
      </c>
      <c r="G11" s="148">
        <f t="shared" si="0"/>
        <v>-0.11156800193797727</v>
      </c>
      <c r="H11" s="149">
        <v>69074.010393783246</v>
      </c>
      <c r="I11" s="118">
        <v>65823.767214559994</v>
      </c>
      <c r="J11" s="119">
        <v>-3250.2431792232528</v>
      </c>
      <c r="K11" s="148">
        <f t="shared" si="1"/>
        <v>-4.9377957488041038E-2</v>
      </c>
      <c r="N11" s="174" t="s">
        <v>645</v>
      </c>
      <c r="O11" s="169">
        <v>3</v>
      </c>
      <c r="P11" s="170">
        <v>45951.873469540231</v>
      </c>
      <c r="Q11" s="170">
        <v>40460</v>
      </c>
      <c r="R11" s="171">
        <v>-5491.8734695402309</v>
      </c>
      <c r="S11" s="172">
        <v>-0.13573587418537397</v>
      </c>
      <c r="T11" s="198">
        <v>60517.88085897368</v>
      </c>
      <c r="U11" s="170">
        <v>56849.069448800001</v>
      </c>
      <c r="V11" s="171">
        <v>-3668.8114101736792</v>
      </c>
      <c r="W11" s="173">
        <v>-6.4535997611674584E-2</v>
      </c>
      <c r="Z11" s="279" t="s">
        <v>587</v>
      </c>
      <c r="AA11" s="207">
        <f t="shared" ref="AA11:AH11" si="19">AA177</f>
        <v>52372.637979309737</v>
      </c>
      <c r="AB11" s="207">
        <f t="shared" si="19"/>
        <v>47116</v>
      </c>
      <c r="AC11" s="207">
        <f t="shared" si="19"/>
        <v>69074.010393783246</v>
      </c>
      <c r="AD11" s="207">
        <f t="shared" si="19"/>
        <v>65823.767214559994</v>
      </c>
      <c r="AE11" s="208">
        <f t="shared" si="19"/>
        <v>45951.873469540231</v>
      </c>
      <c r="AF11" s="208">
        <f t="shared" si="19"/>
        <v>40460</v>
      </c>
      <c r="AG11" s="208">
        <f t="shared" si="19"/>
        <v>60517.88085897368</v>
      </c>
      <c r="AH11" s="208">
        <f t="shared" si="19"/>
        <v>56849.069448800001</v>
      </c>
      <c r="AI11" s="206">
        <f t="shared" si="5"/>
        <v>6420.7645097695058</v>
      </c>
      <c r="AJ11" s="206">
        <f t="shared" si="5"/>
        <v>6656</v>
      </c>
      <c r="AK11" s="189">
        <f t="shared" si="5"/>
        <v>8556.1295348095664</v>
      </c>
      <c r="AL11" s="189">
        <f t="shared" si="5"/>
        <v>8974.6977657599928</v>
      </c>
      <c r="AM11" s="219">
        <f t="shared" si="3"/>
        <v>0.13972802466967074</v>
      </c>
      <c r="AN11" s="214">
        <f t="shared" si="3"/>
        <v>0.16450815620365794</v>
      </c>
      <c r="AO11" s="214">
        <f t="shared" si="3"/>
        <v>0.14138184307458035</v>
      </c>
      <c r="AP11" s="214">
        <f t="shared" si="3"/>
        <v>0.1578688596449741</v>
      </c>
      <c r="AR11" s="159">
        <f t="shared" si="6"/>
        <v>-5256.6379793097367</v>
      </c>
      <c r="AS11" s="193">
        <f t="shared" si="7"/>
        <v>-0.11156800193797727</v>
      </c>
      <c r="AT11" s="190">
        <f t="shared" si="8"/>
        <v>-3250.2431792232528</v>
      </c>
      <c r="AU11" s="192">
        <f t="shared" si="9"/>
        <v>-4.9377957488041038E-2</v>
      </c>
      <c r="AW11" s="159">
        <f t="shared" si="10"/>
        <v>-5491.8734695402309</v>
      </c>
      <c r="AX11" s="193">
        <f t="shared" si="11"/>
        <v>-0.13573587418537397</v>
      </c>
      <c r="AY11" s="190">
        <f t="shared" si="12"/>
        <v>-3668.8114101736792</v>
      </c>
      <c r="AZ11" s="192">
        <f t="shared" si="13"/>
        <v>-6.4535997611674584E-2</v>
      </c>
    </row>
    <row r="12" spans="1:52" ht="15.75" x14ac:dyDescent="0.25">
      <c r="A12" s="31" t="s">
        <v>586</v>
      </c>
      <c r="B12" s="64" t="s">
        <v>586</v>
      </c>
      <c r="C12" s="57">
        <v>13</v>
      </c>
      <c r="D12" s="274">
        <v>96559.336389391116</v>
      </c>
      <c r="E12" s="274">
        <v>88171.846153846156</v>
      </c>
      <c r="F12" s="275">
        <v>-8387.4902355449594</v>
      </c>
      <c r="G12" s="147">
        <f t="shared" si="0"/>
        <v>-9.5126626031058634E-2</v>
      </c>
      <c r="H12" s="282">
        <v>120818.97044770021</v>
      </c>
      <c r="I12" s="274">
        <v>112079.79446703385</v>
      </c>
      <c r="J12" s="275">
        <v>-8739.1759806663613</v>
      </c>
      <c r="K12" s="147">
        <f t="shared" si="1"/>
        <v>-7.7972805198503678E-2</v>
      </c>
      <c r="N12" s="164" t="s">
        <v>586</v>
      </c>
      <c r="O12" s="165">
        <v>13</v>
      </c>
      <c r="P12" s="283">
        <v>92548.817181334263</v>
      </c>
      <c r="Q12" s="283">
        <v>82112.307692307688</v>
      </c>
      <c r="R12" s="277">
        <v>-10436.509489026575</v>
      </c>
      <c r="S12" s="166">
        <v>-0.12710042845384883</v>
      </c>
      <c r="T12" s="284">
        <v>115169.93167939788</v>
      </c>
      <c r="U12" s="283">
        <v>103950.42700067692</v>
      </c>
      <c r="V12" s="277">
        <v>-11219.504678720958</v>
      </c>
      <c r="W12" s="167">
        <v>-0.10793129958617578</v>
      </c>
      <c r="Z12" s="279" t="s">
        <v>586</v>
      </c>
      <c r="AA12" s="280">
        <f t="shared" ref="AA12:AH12" si="20">AA196</f>
        <v>96559.336389391116</v>
      </c>
      <c r="AB12" s="280">
        <f t="shared" si="20"/>
        <v>88171.846153846156</v>
      </c>
      <c r="AC12" s="280">
        <f t="shared" si="20"/>
        <v>120818.97044770021</v>
      </c>
      <c r="AD12" s="280">
        <f t="shared" si="20"/>
        <v>112079.79446703385</v>
      </c>
      <c r="AE12" s="280">
        <f t="shared" si="20"/>
        <v>92548.817181334263</v>
      </c>
      <c r="AF12" s="280">
        <f t="shared" si="20"/>
        <v>82112.307692307688</v>
      </c>
      <c r="AG12" s="280">
        <f t="shared" si="20"/>
        <v>115169.93167939788</v>
      </c>
      <c r="AH12" s="280">
        <f t="shared" si="20"/>
        <v>103950.42700067692</v>
      </c>
      <c r="AI12" s="206">
        <f t="shared" si="5"/>
        <v>4010.5192080568522</v>
      </c>
      <c r="AJ12" s="206">
        <f t="shared" si="5"/>
        <v>6059.5384615384683</v>
      </c>
      <c r="AK12" s="189">
        <f t="shared" si="5"/>
        <v>5649.0387683023291</v>
      </c>
      <c r="AL12" s="189">
        <f t="shared" si="5"/>
        <v>8129.3674663569254</v>
      </c>
      <c r="AM12" s="219">
        <f t="shared" si="3"/>
        <v>4.3334094699437338E-2</v>
      </c>
      <c r="AN12" s="214">
        <f t="shared" si="3"/>
        <v>7.3795739418807349E-2</v>
      </c>
      <c r="AO12" s="214">
        <f t="shared" si="3"/>
        <v>4.9049597285754531E-2</v>
      </c>
      <c r="AP12" s="214">
        <f t="shared" si="3"/>
        <v>7.8204271987300136E-2</v>
      </c>
      <c r="AR12" s="159">
        <f t="shared" si="6"/>
        <v>-8387.4902355449594</v>
      </c>
      <c r="AS12" s="193">
        <f t="shared" si="7"/>
        <v>-9.5126626031058634E-2</v>
      </c>
      <c r="AT12" s="190">
        <f t="shared" si="8"/>
        <v>-8739.1759806663613</v>
      </c>
      <c r="AU12" s="192">
        <f t="shared" si="9"/>
        <v>-7.7972805198503678E-2</v>
      </c>
      <c r="AW12" s="159">
        <f t="shared" si="10"/>
        <v>-10436.509489026575</v>
      </c>
      <c r="AX12" s="193">
        <f t="shared" si="11"/>
        <v>-0.12710042845384883</v>
      </c>
      <c r="AY12" s="190">
        <f t="shared" si="12"/>
        <v>-11219.504678720958</v>
      </c>
      <c r="AZ12" s="192">
        <f t="shared" si="13"/>
        <v>-0.10793129958617578</v>
      </c>
    </row>
    <row r="13" spans="1:52" ht="15.75" x14ac:dyDescent="0.25">
      <c r="A13" s="31" t="s">
        <v>51</v>
      </c>
      <c r="B13" s="58" t="s">
        <v>51</v>
      </c>
      <c r="C13" s="59">
        <v>8</v>
      </c>
      <c r="D13" s="118">
        <v>74090.020369171354</v>
      </c>
      <c r="E13" s="118">
        <v>60421.5</v>
      </c>
      <c r="F13" s="119">
        <v>-13668.520369171354</v>
      </c>
      <c r="G13" s="148">
        <f t="shared" si="0"/>
        <v>-0.22621948096573827</v>
      </c>
      <c r="H13" s="149">
        <v>94437.65681889531</v>
      </c>
      <c r="I13" s="118">
        <v>80814.557278939988</v>
      </c>
      <c r="J13" s="119">
        <v>-13623.099539955321</v>
      </c>
      <c r="K13" s="148">
        <f t="shared" si="1"/>
        <v>-0.16857234635257301</v>
      </c>
      <c r="N13" s="168" t="s">
        <v>51</v>
      </c>
      <c r="O13" s="169">
        <v>8</v>
      </c>
      <c r="P13" s="170">
        <v>71689.330229367159</v>
      </c>
      <c r="Q13" s="170">
        <v>55539.75</v>
      </c>
      <c r="R13" s="171">
        <v>-16149.580229367159</v>
      </c>
      <c r="S13" s="172">
        <v>-0.29077516966437839</v>
      </c>
      <c r="T13" s="198">
        <v>90232.952763842943</v>
      </c>
      <c r="U13" s="170">
        <v>73901.586725630012</v>
      </c>
      <c r="V13" s="171">
        <v>-16331.366038212931</v>
      </c>
      <c r="W13" s="173">
        <v>-0.22098802964604014</v>
      </c>
      <c r="Z13" s="279" t="s">
        <v>51</v>
      </c>
      <c r="AA13" s="207">
        <f t="shared" ref="AA13:AH13" si="21">AA210</f>
        <v>74090.020369171354</v>
      </c>
      <c r="AB13" s="207">
        <f t="shared" si="21"/>
        <v>60421.5</v>
      </c>
      <c r="AC13" s="207">
        <f t="shared" si="21"/>
        <v>94437.65681889531</v>
      </c>
      <c r="AD13" s="207">
        <f t="shared" si="21"/>
        <v>80814.557278939988</v>
      </c>
      <c r="AE13" s="208">
        <f t="shared" si="21"/>
        <v>71689.330229367159</v>
      </c>
      <c r="AF13" s="208">
        <f t="shared" si="21"/>
        <v>55539.75</v>
      </c>
      <c r="AG13" s="208">
        <f t="shared" si="21"/>
        <v>90232.952763842943</v>
      </c>
      <c r="AH13" s="208">
        <f t="shared" si="21"/>
        <v>73901.586725630012</v>
      </c>
      <c r="AI13" s="206">
        <f t="shared" si="5"/>
        <v>2400.6901398041955</v>
      </c>
      <c r="AJ13" s="206">
        <f t="shared" si="5"/>
        <v>4881.75</v>
      </c>
      <c r="AK13" s="189">
        <f t="shared" si="5"/>
        <v>4204.704055052367</v>
      </c>
      <c r="AL13" s="189">
        <f t="shared" si="5"/>
        <v>6912.9705533099768</v>
      </c>
      <c r="AM13" s="219">
        <f t="shared" si="3"/>
        <v>3.3487412033607833E-2</v>
      </c>
      <c r="AN13" s="214">
        <f t="shared" si="3"/>
        <v>8.7896506556115209E-2</v>
      </c>
      <c r="AO13" s="214">
        <f t="shared" si="3"/>
        <v>4.6598320527722163E-2</v>
      </c>
      <c r="AP13" s="214">
        <f t="shared" si="3"/>
        <v>9.3542924578539133E-2</v>
      </c>
      <c r="AR13" s="159">
        <f t="shared" si="6"/>
        <v>-13668.520369171354</v>
      </c>
      <c r="AS13" s="193">
        <f t="shared" si="7"/>
        <v>-0.22621948096573827</v>
      </c>
      <c r="AT13" s="190">
        <f t="shared" si="8"/>
        <v>-13623.099539955321</v>
      </c>
      <c r="AU13" s="192">
        <f t="shared" si="9"/>
        <v>-0.16857234635257301</v>
      </c>
      <c r="AW13" s="159">
        <f t="shared" si="10"/>
        <v>-16149.580229367159</v>
      </c>
      <c r="AX13" s="193">
        <f t="shared" si="11"/>
        <v>-0.29077516966437839</v>
      </c>
      <c r="AY13" s="190">
        <f t="shared" si="12"/>
        <v>-16331.366038212931</v>
      </c>
      <c r="AZ13" s="192">
        <f t="shared" si="13"/>
        <v>-0.22098802964604014</v>
      </c>
    </row>
    <row r="14" spans="1:52" ht="15.75" x14ac:dyDescent="0.25">
      <c r="A14" s="31" t="s">
        <v>585</v>
      </c>
      <c r="B14" s="56" t="s">
        <v>585</v>
      </c>
      <c r="C14" s="57">
        <v>32</v>
      </c>
      <c r="D14" s="274">
        <v>82480.770157247665</v>
      </c>
      <c r="E14" s="274">
        <v>64966.5</v>
      </c>
      <c r="F14" s="275">
        <v>-17514.270157247665</v>
      </c>
      <c r="G14" s="147">
        <f t="shared" si="0"/>
        <v>-0.26958925226459274</v>
      </c>
      <c r="H14" s="282">
        <v>105222.73992775196</v>
      </c>
      <c r="I14" s="274">
        <v>85935.232251140013</v>
      </c>
      <c r="J14" s="275">
        <v>-19287.507676611945</v>
      </c>
      <c r="K14" s="147">
        <f t="shared" si="1"/>
        <v>-0.22444237562825786</v>
      </c>
      <c r="N14" s="164" t="s">
        <v>585</v>
      </c>
      <c r="O14" s="165">
        <v>32</v>
      </c>
      <c r="P14" s="283">
        <v>76843.322662934093</v>
      </c>
      <c r="Q14" s="283">
        <v>59478.1875</v>
      </c>
      <c r="R14" s="277">
        <v>-17365.135162934093</v>
      </c>
      <c r="S14" s="166">
        <v>-0.29195804197856723</v>
      </c>
      <c r="T14" s="284">
        <v>97662.793828647031</v>
      </c>
      <c r="U14" s="283">
        <v>78355.259599017489</v>
      </c>
      <c r="V14" s="277">
        <v>-19307.534229629542</v>
      </c>
      <c r="W14" s="167">
        <v>-0.24641018775811244</v>
      </c>
      <c r="Z14" s="279" t="s">
        <v>7</v>
      </c>
      <c r="AA14" s="280">
        <f t="shared" ref="AA14:AH14" si="22">AA250</f>
        <v>82318.312512203163</v>
      </c>
      <c r="AB14" s="280">
        <f t="shared" si="22"/>
        <v>64575.677419354841</v>
      </c>
      <c r="AC14" s="280">
        <f t="shared" si="22"/>
        <v>105028.12843413631</v>
      </c>
      <c r="AD14" s="280">
        <f t="shared" si="22"/>
        <v>85494.90762907613</v>
      </c>
      <c r="AE14" s="280">
        <f t="shared" si="22"/>
        <v>76563.972605493938</v>
      </c>
      <c r="AF14" s="280">
        <f t="shared" si="22"/>
        <v>59298</v>
      </c>
      <c r="AG14" s="280">
        <f t="shared" si="22"/>
        <v>97375.476307893856</v>
      </c>
      <c r="AH14" s="280">
        <f t="shared" si="22"/>
        <v>78151.499559439995</v>
      </c>
      <c r="AI14" s="206">
        <f t="shared" si="5"/>
        <v>5754.339906709225</v>
      </c>
      <c r="AJ14" s="206">
        <f t="shared" si="5"/>
        <v>5277.6774193548408</v>
      </c>
      <c r="AK14" s="189">
        <f t="shared" si="5"/>
        <v>7652.6521262424503</v>
      </c>
      <c r="AL14" s="189">
        <f t="shared" si="5"/>
        <v>7343.4080696361343</v>
      </c>
      <c r="AM14" s="219">
        <f t="shared" si="3"/>
        <v>7.5157279734676619E-2</v>
      </c>
      <c r="AN14" s="214">
        <f t="shared" si="3"/>
        <v>8.9002620988141948E-2</v>
      </c>
      <c r="AO14" s="214">
        <f t="shared" si="3"/>
        <v>7.8589111102731313E-2</v>
      </c>
      <c r="AP14" s="214">
        <f t="shared" si="3"/>
        <v>9.3963751316773259E-2</v>
      </c>
      <c r="AR14" s="159">
        <f t="shared" si="6"/>
        <v>-17742.635092848323</v>
      </c>
      <c r="AS14" s="193">
        <f t="shared" si="7"/>
        <v>-0.27475724300385646</v>
      </c>
      <c r="AT14" s="190">
        <f t="shared" si="8"/>
        <v>-19533.220805060177</v>
      </c>
      <c r="AU14" s="192">
        <f t="shared" si="9"/>
        <v>-0.2284723306539615</v>
      </c>
      <c r="AW14" s="159">
        <f t="shared" si="10"/>
        <v>-17265.972605493938</v>
      </c>
      <c r="AX14" s="193">
        <f t="shared" si="11"/>
        <v>-0.29117293341249179</v>
      </c>
      <c r="AY14" s="190">
        <f t="shared" si="12"/>
        <v>-19223.976748453861</v>
      </c>
      <c r="AZ14" s="192">
        <f t="shared" si="13"/>
        <v>-0.24598346617562475</v>
      </c>
    </row>
    <row r="15" spans="1:52" ht="15.75" x14ac:dyDescent="0.25">
      <c r="A15" s="31" t="s">
        <v>0</v>
      </c>
      <c r="B15" s="58" t="s">
        <v>0</v>
      </c>
      <c r="C15" s="59">
        <v>15</v>
      </c>
      <c r="D15" s="118">
        <v>79680.999276234157</v>
      </c>
      <c r="E15" s="118">
        <v>64020</v>
      </c>
      <c r="F15" s="119">
        <v>-15660.999276234157</v>
      </c>
      <c r="G15" s="148">
        <f t="shared" si="0"/>
        <v>-0.24462666785745324</v>
      </c>
      <c r="H15" s="149">
        <v>102765.14915523426</v>
      </c>
      <c r="I15" s="118">
        <v>84868.847463200014</v>
      </c>
      <c r="J15" s="119">
        <v>-17896.301692034249</v>
      </c>
      <c r="K15" s="148">
        <f t="shared" si="1"/>
        <v>-0.21087009223018216</v>
      </c>
      <c r="N15" s="168" t="s">
        <v>0</v>
      </c>
      <c r="O15" s="169">
        <v>15</v>
      </c>
      <c r="P15" s="170">
        <v>71350.967263153027</v>
      </c>
      <c r="Q15" s="170">
        <v>57943.6</v>
      </c>
      <c r="R15" s="171">
        <v>-13407.367263153028</v>
      </c>
      <c r="S15" s="172">
        <v>-0.23138650796900828</v>
      </c>
      <c r="T15" s="198">
        <v>92955.397421457717</v>
      </c>
      <c r="U15" s="170">
        <v>76619.913863408001</v>
      </c>
      <c r="V15" s="171">
        <v>-16335.483558049717</v>
      </c>
      <c r="W15" s="173">
        <v>-0.21320153905643044</v>
      </c>
      <c r="Z15" s="279" t="s">
        <v>0</v>
      </c>
      <c r="AA15" s="207">
        <f t="shared" ref="AA15:AH15" si="23">AA271</f>
        <v>79603.618566257181</v>
      </c>
      <c r="AB15" s="207">
        <f t="shared" si="23"/>
        <v>63602.571428571428</v>
      </c>
      <c r="AC15" s="207">
        <f t="shared" si="23"/>
        <v>102701.66880012314</v>
      </c>
      <c r="AD15" s="207">
        <f t="shared" si="23"/>
        <v>84398.546904697156</v>
      </c>
      <c r="AE15" s="208">
        <f t="shared" si="23"/>
        <v>70857.132452468621</v>
      </c>
      <c r="AF15" s="208">
        <f t="shared" si="23"/>
        <v>57551.571428571428</v>
      </c>
      <c r="AG15" s="208">
        <f t="shared" si="23"/>
        <v>92499.988870051078</v>
      </c>
      <c r="AH15" s="208">
        <f t="shared" si="23"/>
        <v>76176.59922044001</v>
      </c>
      <c r="AI15" s="206">
        <f t="shared" si="5"/>
        <v>8746.48611378856</v>
      </c>
      <c r="AJ15" s="206">
        <f t="shared" si="5"/>
        <v>6051</v>
      </c>
      <c r="AK15" s="189">
        <f t="shared" si="5"/>
        <v>10201.67993007206</v>
      </c>
      <c r="AL15" s="189">
        <f t="shared" si="5"/>
        <v>8221.9476842571457</v>
      </c>
      <c r="AM15" s="219">
        <f t="shared" si="3"/>
        <v>0.12343833021546213</v>
      </c>
      <c r="AN15" s="214">
        <f t="shared" si="3"/>
        <v>0.10514048269750609</v>
      </c>
      <c r="AO15" s="214">
        <f t="shared" si="3"/>
        <v>0.11028844494677642</v>
      </c>
      <c r="AP15" s="214">
        <f t="shared" si="3"/>
        <v>0.10793272170715387</v>
      </c>
      <c r="AR15" s="159">
        <f t="shared" si="6"/>
        <v>-16001.047137685753</v>
      </c>
      <c r="AS15" s="193">
        <f t="shared" si="7"/>
        <v>-0.25157861983073521</v>
      </c>
      <c r="AT15" s="190">
        <f t="shared" si="8"/>
        <v>-18303.121895425982</v>
      </c>
      <c r="AU15" s="192">
        <f t="shared" si="9"/>
        <v>-0.21686536755299671</v>
      </c>
      <c r="AW15" s="159">
        <f t="shared" si="10"/>
        <v>-13305.561023897193</v>
      </c>
      <c r="AX15" s="193">
        <f t="shared" si="11"/>
        <v>-0.23119370494359184</v>
      </c>
      <c r="AY15" s="190">
        <f t="shared" si="12"/>
        <v>-16323.389649611068</v>
      </c>
      <c r="AZ15" s="192">
        <f t="shared" si="13"/>
        <v>-0.21428351772930171</v>
      </c>
    </row>
    <row r="16" spans="1:52" ht="15.75" x14ac:dyDescent="0.25">
      <c r="A16" s="31" t="s">
        <v>8</v>
      </c>
      <c r="B16" s="56" t="s">
        <v>8</v>
      </c>
      <c r="C16" s="57">
        <v>1</v>
      </c>
      <c r="D16" s="274">
        <v>93352.39499999999</v>
      </c>
      <c r="E16" s="274">
        <v>66432</v>
      </c>
      <c r="F16" s="275">
        <v>-26920.39499999999</v>
      </c>
      <c r="G16" s="147">
        <f t="shared" si="0"/>
        <v>-0.40523234284682064</v>
      </c>
      <c r="H16" s="282">
        <v>116082.92065615999</v>
      </c>
      <c r="I16" s="274">
        <v>87586.354181119998</v>
      </c>
      <c r="J16" s="275">
        <v>-28496.566475039988</v>
      </c>
      <c r="K16" s="147">
        <f t="shared" si="1"/>
        <v>-0.32535395201074224</v>
      </c>
      <c r="N16" s="164" t="s">
        <v>8</v>
      </c>
      <c r="O16" s="165">
        <v>1</v>
      </c>
      <c r="P16" s="283">
        <v>88493.506357872742</v>
      </c>
      <c r="Q16" s="283">
        <v>61866</v>
      </c>
      <c r="R16" s="277">
        <v>-26627.506357872742</v>
      </c>
      <c r="S16" s="166">
        <v>-0.43040614162662433</v>
      </c>
      <c r="T16" s="284">
        <v>109929.66748009674</v>
      </c>
      <c r="U16" s="283">
        <v>81055.451174479997</v>
      </c>
      <c r="V16" s="277">
        <v>-28874.216305616748</v>
      </c>
      <c r="W16" s="167">
        <v>-0.35622793886449533</v>
      </c>
      <c r="Z16" s="279" t="s">
        <v>8</v>
      </c>
      <c r="AA16" s="280">
        <f t="shared" ref="AA16:AH16" si="24">AA277</f>
        <v>93352.39499999999</v>
      </c>
      <c r="AB16" s="280">
        <f t="shared" si="24"/>
        <v>66432</v>
      </c>
      <c r="AC16" s="280">
        <f t="shared" si="24"/>
        <v>116082.92065615999</v>
      </c>
      <c r="AD16" s="280">
        <f t="shared" si="24"/>
        <v>87586.354181119998</v>
      </c>
      <c r="AE16" s="280">
        <f t="shared" si="24"/>
        <v>88493.506357872742</v>
      </c>
      <c r="AF16" s="280">
        <f t="shared" si="24"/>
        <v>61866</v>
      </c>
      <c r="AG16" s="280">
        <f t="shared" si="24"/>
        <v>109929.66748009674</v>
      </c>
      <c r="AH16" s="280">
        <f t="shared" si="24"/>
        <v>81055.451174479997</v>
      </c>
      <c r="AI16" s="206">
        <f t="shared" si="5"/>
        <v>4858.8886421272473</v>
      </c>
      <c r="AJ16" s="206">
        <f t="shared" si="5"/>
        <v>4566</v>
      </c>
      <c r="AK16" s="189">
        <f t="shared" si="5"/>
        <v>6153.253176063241</v>
      </c>
      <c r="AL16" s="189">
        <f t="shared" si="5"/>
        <v>6530.903006640001</v>
      </c>
      <c r="AM16" s="219">
        <f t="shared" si="3"/>
        <v>5.4906725274028886E-2</v>
      </c>
      <c r="AN16" s="214">
        <f t="shared" si="3"/>
        <v>7.3804674619338567E-2</v>
      </c>
      <c r="AO16" s="214">
        <f t="shared" si="3"/>
        <v>5.597445455001776E-2</v>
      </c>
      <c r="AP16" s="214">
        <f t="shared" si="3"/>
        <v>8.0573273135961909E-2</v>
      </c>
      <c r="AR16" s="159">
        <f t="shared" si="6"/>
        <v>-26920.39499999999</v>
      </c>
      <c r="AS16" s="193">
        <f t="shared" si="7"/>
        <v>-0.40523234284682064</v>
      </c>
      <c r="AT16" s="190">
        <f t="shared" si="8"/>
        <v>-28496.566475039988</v>
      </c>
      <c r="AU16" s="192">
        <f t="shared" si="9"/>
        <v>-0.32535395201074224</v>
      </c>
      <c r="AW16" s="159">
        <f t="shared" si="10"/>
        <v>-26627.506357872742</v>
      </c>
      <c r="AX16" s="193">
        <f t="shared" si="11"/>
        <v>-0.43040614162662433</v>
      </c>
      <c r="AY16" s="190">
        <f t="shared" si="12"/>
        <v>-28874.216305616748</v>
      </c>
      <c r="AZ16" s="192">
        <f t="shared" si="13"/>
        <v>-0.35622793886449533</v>
      </c>
    </row>
    <row r="17" spans="1:52" ht="15.75" x14ac:dyDescent="0.25">
      <c r="A17" s="31" t="s">
        <v>52</v>
      </c>
      <c r="B17" s="58" t="s">
        <v>52</v>
      </c>
      <c r="C17" s="59">
        <v>2</v>
      </c>
      <c r="D17" s="118">
        <v>57529.939297146768</v>
      </c>
      <c r="E17" s="118">
        <v>49122</v>
      </c>
      <c r="F17" s="119">
        <v>-8407.9392971467678</v>
      </c>
      <c r="G17" s="148">
        <f t="shared" si="0"/>
        <v>-0.1711644333933221</v>
      </c>
      <c r="H17" s="149">
        <v>75436.304772905889</v>
      </c>
      <c r="I17" s="118">
        <v>68083.849501520002</v>
      </c>
      <c r="J17" s="119">
        <v>-7352.4552713858866</v>
      </c>
      <c r="K17" s="148">
        <f t="shared" si="1"/>
        <v>-0.10799118036387968</v>
      </c>
      <c r="N17" s="168" t="s">
        <v>52</v>
      </c>
      <c r="O17" s="169">
        <v>2</v>
      </c>
      <c r="P17" s="170">
        <v>47601.237436211974</v>
      </c>
      <c r="Q17" s="170">
        <v>45744</v>
      </c>
      <c r="R17" s="171">
        <v>-1857.2374362119735</v>
      </c>
      <c r="S17" s="172">
        <v>-4.0600678476127437E-2</v>
      </c>
      <c r="T17" s="198">
        <v>63266.3662237932</v>
      </c>
      <c r="U17" s="170">
        <v>62824.334376319995</v>
      </c>
      <c r="V17" s="171">
        <v>-442.03184747320483</v>
      </c>
      <c r="W17" s="173">
        <v>-7.0359973067986425E-3</v>
      </c>
      <c r="Z17" s="279" t="s">
        <v>52</v>
      </c>
      <c r="AA17" s="207">
        <f t="shared" ref="AA17:AH17" si="25">AA285</f>
        <v>57529.939297146768</v>
      </c>
      <c r="AB17" s="207">
        <f t="shared" si="25"/>
        <v>49122</v>
      </c>
      <c r="AC17" s="207">
        <f t="shared" si="25"/>
        <v>75436.304772905889</v>
      </c>
      <c r="AD17" s="207">
        <f t="shared" si="25"/>
        <v>68083.849501520002</v>
      </c>
      <c r="AE17" s="208">
        <f t="shared" si="25"/>
        <v>47601.237436211974</v>
      </c>
      <c r="AF17" s="208">
        <f t="shared" si="25"/>
        <v>45744</v>
      </c>
      <c r="AG17" s="208">
        <f t="shared" si="25"/>
        <v>63266.3662237932</v>
      </c>
      <c r="AH17" s="208">
        <f t="shared" si="25"/>
        <v>62824.334376319995</v>
      </c>
      <c r="AI17" s="206">
        <f t="shared" si="5"/>
        <v>9928.7018609347942</v>
      </c>
      <c r="AJ17" s="206">
        <f t="shared" si="5"/>
        <v>3378</v>
      </c>
      <c r="AK17" s="189">
        <f t="shared" si="5"/>
        <v>12169.938549112689</v>
      </c>
      <c r="AL17" s="189">
        <f t="shared" si="5"/>
        <v>5259.5151252000069</v>
      </c>
      <c r="AM17" s="219">
        <f t="shared" si="3"/>
        <v>0.20858075116723065</v>
      </c>
      <c r="AN17" s="214">
        <f t="shared" si="3"/>
        <v>7.3845750262329479E-2</v>
      </c>
      <c r="AO17" s="214">
        <f t="shared" si="3"/>
        <v>0.19236032153425339</v>
      </c>
      <c r="AP17" s="214">
        <f t="shared" si="3"/>
        <v>8.3717801030653571E-2</v>
      </c>
      <c r="AR17" s="159">
        <f t="shared" si="6"/>
        <v>-8407.9392971467678</v>
      </c>
      <c r="AS17" s="193">
        <f t="shared" si="7"/>
        <v>-0.1711644333933221</v>
      </c>
      <c r="AT17" s="190">
        <f t="shared" si="8"/>
        <v>-7352.4552713858866</v>
      </c>
      <c r="AU17" s="192">
        <f t="shared" si="9"/>
        <v>-0.10799118036387968</v>
      </c>
      <c r="AW17" s="159">
        <f t="shared" si="10"/>
        <v>-1857.2374362119735</v>
      </c>
      <c r="AX17" s="193">
        <f t="shared" si="11"/>
        <v>-4.0600678476127437E-2</v>
      </c>
      <c r="AY17" s="190">
        <f t="shared" si="12"/>
        <v>-442.03184747320483</v>
      </c>
      <c r="AZ17" s="192">
        <f t="shared" si="13"/>
        <v>-7.0359973067986425E-3</v>
      </c>
    </row>
    <row r="18" spans="1:52" ht="15.75" x14ac:dyDescent="0.25">
      <c r="A18" s="31" t="s">
        <v>2</v>
      </c>
      <c r="B18" s="56" t="s">
        <v>2</v>
      </c>
      <c r="C18" s="57">
        <v>9</v>
      </c>
      <c r="D18" s="274">
        <v>86611.048603138115</v>
      </c>
      <c r="E18" s="274">
        <v>66866.666666666672</v>
      </c>
      <c r="F18" s="275">
        <v>-19744.381936471444</v>
      </c>
      <c r="G18" s="147">
        <f t="shared" si="0"/>
        <v>-0.29527988937893485</v>
      </c>
      <c r="H18" s="282">
        <v>109792.88093142222</v>
      </c>
      <c r="I18" s="274">
        <v>88076.076231999992</v>
      </c>
      <c r="J18" s="275">
        <v>-21716.804699422224</v>
      </c>
      <c r="K18" s="147">
        <f t="shared" si="1"/>
        <v>-0.24656871228253044</v>
      </c>
      <c r="N18" s="164" t="s">
        <v>2</v>
      </c>
      <c r="O18" s="165">
        <v>9</v>
      </c>
      <c r="P18" s="283">
        <v>78705.364712363968</v>
      </c>
      <c r="Q18" s="283">
        <v>59798</v>
      </c>
      <c r="R18" s="277">
        <v>-18907.364712363968</v>
      </c>
      <c r="S18" s="166">
        <v>-0.31618724225499129</v>
      </c>
      <c r="T18" s="284">
        <v>100383.66914752511</v>
      </c>
      <c r="U18" s="283">
        <v>78716.910699439992</v>
      </c>
      <c r="V18" s="277">
        <v>-21666.758448085122</v>
      </c>
      <c r="W18" s="167">
        <v>-0.27524909521429253</v>
      </c>
      <c r="Z18" s="279" t="s">
        <v>2</v>
      </c>
      <c r="AA18" s="280">
        <f t="shared" ref="AA18:AH18" si="26">AA300</f>
        <v>86611.048603138115</v>
      </c>
      <c r="AB18" s="280">
        <f t="shared" si="26"/>
        <v>66866.666666666672</v>
      </c>
      <c r="AC18" s="280">
        <f t="shared" si="26"/>
        <v>109792.88093142222</v>
      </c>
      <c r="AD18" s="280">
        <f t="shared" si="26"/>
        <v>88076.076231999992</v>
      </c>
      <c r="AE18" s="280">
        <f t="shared" si="26"/>
        <v>78705.364712363968</v>
      </c>
      <c r="AF18" s="280">
        <f t="shared" si="26"/>
        <v>59798</v>
      </c>
      <c r="AG18" s="280">
        <f t="shared" si="26"/>
        <v>100383.66914752511</v>
      </c>
      <c r="AH18" s="280">
        <f t="shared" si="26"/>
        <v>78716.910699439992</v>
      </c>
      <c r="AI18" s="206">
        <f t="shared" si="5"/>
        <v>7905.6838907741476</v>
      </c>
      <c r="AJ18" s="206">
        <f t="shared" si="5"/>
        <v>7068.6666666666715</v>
      </c>
      <c r="AK18" s="189">
        <f t="shared" si="5"/>
        <v>9409.2117838971026</v>
      </c>
      <c r="AL18" s="189">
        <f t="shared" si="5"/>
        <v>9359.1655325600004</v>
      </c>
      <c r="AM18" s="219">
        <f t="shared" si="3"/>
        <v>0.100446569552993</v>
      </c>
      <c r="AN18" s="214">
        <f t="shared" si="3"/>
        <v>0.11820908168612114</v>
      </c>
      <c r="AO18" s="214">
        <f t="shared" si="3"/>
        <v>9.373249517378375E-2</v>
      </c>
      <c r="AP18" s="214">
        <f t="shared" si="3"/>
        <v>0.11889650456806587</v>
      </c>
      <c r="AR18" s="159">
        <f t="shared" si="6"/>
        <v>-19744.381936471444</v>
      </c>
      <c r="AS18" s="193">
        <f t="shared" si="7"/>
        <v>-0.29527988937893485</v>
      </c>
      <c r="AT18" s="190">
        <f t="shared" si="8"/>
        <v>-21716.804699422224</v>
      </c>
      <c r="AU18" s="192">
        <f t="shared" si="9"/>
        <v>-0.24656871228253044</v>
      </c>
      <c r="AW18" s="159">
        <f t="shared" si="10"/>
        <v>-18907.364712363968</v>
      </c>
      <c r="AX18" s="193">
        <f t="shared" si="11"/>
        <v>-0.31618724225499129</v>
      </c>
      <c r="AY18" s="190">
        <f t="shared" si="12"/>
        <v>-21666.758448085122</v>
      </c>
      <c r="AZ18" s="192">
        <f t="shared" si="13"/>
        <v>-0.27524909521429253</v>
      </c>
    </row>
    <row r="19" spans="1:52" ht="15.75" x14ac:dyDescent="0.25">
      <c r="A19" s="31" t="s">
        <v>1</v>
      </c>
      <c r="B19" s="60" t="s">
        <v>1</v>
      </c>
      <c r="C19" s="61">
        <v>6</v>
      </c>
      <c r="D19" s="121">
        <v>87412.375796953842</v>
      </c>
      <c r="E19" s="121">
        <v>69110</v>
      </c>
      <c r="F19" s="122">
        <v>-18302.375796953842</v>
      </c>
      <c r="G19" s="150">
        <f t="shared" si="0"/>
        <v>-0.26482963097892986</v>
      </c>
      <c r="H19" s="151">
        <v>110123.31365410496</v>
      </c>
      <c r="I19" s="121">
        <v>90603.552767600006</v>
      </c>
      <c r="J19" s="122">
        <v>-19519.760886504955</v>
      </c>
      <c r="K19" s="150">
        <f t="shared" si="1"/>
        <v>-0.21544145113794319</v>
      </c>
      <c r="N19" s="168" t="s">
        <v>1</v>
      </c>
      <c r="O19" s="169">
        <v>6</v>
      </c>
      <c r="P19" s="170">
        <v>80959.188993286865</v>
      </c>
      <c r="Q19" s="170">
        <v>63396</v>
      </c>
      <c r="R19" s="171">
        <v>-17563.188993286865</v>
      </c>
      <c r="S19" s="172">
        <v>-0.27703938723715793</v>
      </c>
      <c r="T19" s="198">
        <v>101251.44586893788</v>
      </c>
      <c r="U19" s="170">
        <v>82785.609262879996</v>
      </c>
      <c r="V19" s="171">
        <v>-18465.836606057885</v>
      </c>
      <c r="W19" s="173">
        <v>-0.22305611772960315</v>
      </c>
      <c r="Z19" s="279" t="s">
        <v>1</v>
      </c>
      <c r="AA19" s="207">
        <f t="shared" ref="AA19:AH19" si="27">AA312</f>
        <v>87412.375796953842</v>
      </c>
      <c r="AB19" s="207">
        <f t="shared" si="27"/>
        <v>69110</v>
      </c>
      <c r="AC19" s="207">
        <f t="shared" si="27"/>
        <v>110123.31365410496</v>
      </c>
      <c r="AD19" s="207">
        <f t="shared" si="27"/>
        <v>90603.552767600006</v>
      </c>
      <c r="AE19" s="208">
        <f t="shared" si="27"/>
        <v>80959.188993286865</v>
      </c>
      <c r="AF19" s="208">
        <f t="shared" si="27"/>
        <v>63396</v>
      </c>
      <c r="AG19" s="208">
        <f t="shared" si="27"/>
        <v>101251.44586893788</v>
      </c>
      <c r="AH19" s="208">
        <f t="shared" si="27"/>
        <v>82785.609262879996</v>
      </c>
      <c r="AI19" s="206">
        <f t="shared" si="5"/>
        <v>6453.1868036669766</v>
      </c>
      <c r="AJ19" s="206">
        <f t="shared" si="5"/>
        <v>5714</v>
      </c>
      <c r="AK19" s="189">
        <f t="shared" si="5"/>
        <v>8871.86778516708</v>
      </c>
      <c r="AL19" s="189">
        <f t="shared" si="5"/>
        <v>7817.9435047200095</v>
      </c>
      <c r="AM19" s="219">
        <f t="shared" si="3"/>
        <v>7.9709133501844678E-2</v>
      </c>
      <c r="AN19" s="214">
        <f t="shared" si="3"/>
        <v>9.0131869518581612E-2</v>
      </c>
      <c r="AO19" s="214">
        <f t="shared" si="3"/>
        <v>8.7622134272048055E-2</v>
      </c>
      <c r="AP19" s="214">
        <f t="shared" si="3"/>
        <v>9.443602063608264E-2</v>
      </c>
      <c r="AR19" s="191">
        <f t="shared" si="6"/>
        <v>-18302.375796953842</v>
      </c>
      <c r="AS19" s="194">
        <f t="shared" si="7"/>
        <v>-0.26482963097892986</v>
      </c>
      <c r="AT19" s="195">
        <f t="shared" si="8"/>
        <v>-19519.760886504955</v>
      </c>
      <c r="AU19" s="196">
        <f t="shared" si="9"/>
        <v>-0.21544145113794319</v>
      </c>
      <c r="AW19" s="191">
        <f t="shared" si="10"/>
        <v>-17563.188993286865</v>
      </c>
      <c r="AX19" s="194">
        <f t="shared" si="11"/>
        <v>-0.27703938723715793</v>
      </c>
      <c r="AY19" s="195">
        <f t="shared" si="12"/>
        <v>-18465.836606057885</v>
      </c>
      <c r="AZ19" s="196">
        <f t="shared" si="13"/>
        <v>-0.22305611772960315</v>
      </c>
    </row>
    <row r="20" spans="1:52" ht="15.75" x14ac:dyDescent="0.25">
      <c r="B20" s="62" t="s">
        <v>646</v>
      </c>
      <c r="C20" s="63">
        <v>181</v>
      </c>
      <c r="D20" s="124">
        <v>77083.012797312433</v>
      </c>
      <c r="E20" s="124">
        <v>62277.45705128205</v>
      </c>
      <c r="F20" s="124">
        <v>-14805.555746030383</v>
      </c>
      <c r="G20" s="152">
        <f t="shared" si="0"/>
        <v>-0.23773539330353236</v>
      </c>
      <c r="H20" s="126">
        <v>98682.072766366226</v>
      </c>
      <c r="I20" s="127">
        <v>82905.592003247613</v>
      </c>
      <c r="J20" s="124">
        <v>-15776.480763118612</v>
      </c>
      <c r="K20" s="152">
        <f t="shared" si="1"/>
        <v>-0.19029453118796388</v>
      </c>
      <c r="N20" s="175" t="s">
        <v>646</v>
      </c>
      <c r="O20" s="176">
        <v>179</v>
      </c>
      <c r="P20" s="177">
        <v>75112.309882373505</v>
      </c>
      <c r="Q20" s="177">
        <v>60771.251396648047</v>
      </c>
      <c r="R20" s="177">
        <v>-14341.058485725458</v>
      </c>
      <c r="S20" s="178">
        <v>-0.23598425499127482</v>
      </c>
      <c r="T20" s="199">
        <v>95370.969588506545</v>
      </c>
      <c r="U20" s="179">
        <v>79817.485062810709</v>
      </c>
      <c r="V20" s="177">
        <v>-15553.484525695836</v>
      </c>
      <c r="W20" s="180">
        <v>-0.19486312445770929</v>
      </c>
      <c r="Z20" s="211" t="s">
        <v>646</v>
      </c>
      <c r="AA20" s="212">
        <f>AVERAGE(AA26:AA40,AA47:AA54,AA62:AA63,AA65,AA73:AA83,AA90:AA94,AA101:AA102,AA104:AA114,AA121:AA134,AA136:AA146,AA149:AA154,AA157,AA160:AA161,AA166,AA174:AA176,AA183:AA195,AA202:AA209,AA216:AA246,AA256:AA269,AA277,AA283:AA284,AA291:AA299,AA306:AA311)</f>
        <v>81460.779462667386</v>
      </c>
      <c r="AB20" s="212">
        <f t="shared" ref="AB20:AH20" si="28">AVERAGE(AB26:AB40,AB47:AB54,AB62:AB63,AB65,AB73:AB83,AB90:AB94,AB101:AB102,AB104:AB114,AB121:AB134,AB136:AB146,AB149:AB154,AB157,AB160:AB161,AB166,AB174:AB176,AB183:AB195,AB202:AB209,AB216:AB246,AB256:AB269,AB277,AB283:AB284,AB291:AB299,AB306:AB311)</f>
        <v>66480.847457627126</v>
      </c>
      <c r="AC20" s="212">
        <f t="shared" si="28"/>
        <v>103628.72510388268</v>
      </c>
      <c r="AD20" s="212">
        <f t="shared" si="28"/>
        <v>87641.388714393208</v>
      </c>
      <c r="AE20" s="212">
        <f t="shared" si="28"/>
        <v>75035.794575641485</v>
      </c>
      <c r="AF20" s="212">
        <f t="shared" si="28"/>
        <v>60731.966101694918</v>
      </c>
      <c r="AG20" s="212">
        <f t="shared" si="28"/>
        <v>95285.326566268515</v>
      </c>
      <c r="AH20" s="212">
        <f t="shared" si="28"/>
        <v>79773.060376001376</v>
      </c>
      <c r="AI20" s="210">
        <f t="shared" si="5"/>
        <v>6424.9848870259011</v>
      </c>
      <c r="AJ20" s="210">
        <f t="shared" si="5"/>
        <v>5748.881355932208</v>
      </c>
      <c r="AK20" s="204">
        <f t="shared" si="5"/>
        <v>8343.3985376141645</v>
      </c>
      <c r="AL20" s="204">
        <f t="shared" si="5"/>
        <v>7868.3283383918315</v>
      </c>
      <c r="AM20" s="220">
        <f t="shared" ref="AM20:AP20" si="29">AI20/AE20</f>
        <v>8.5625599400417543E-2</v>
      </c>
      <c r="AN20" s="215">
        <f t="shared" si="29"/>
        <v>9.4659892062538831E-2</v>
      </c>
      <c r="AO20" s="215">
        <f t="shared" si="29"/>
        <v>8.7562259985660473E-2</v>
      </c>
      <c r="AP20" s="215">
        <f t="shared" si="29"/>
        <v>9.8633903492047911E-2</v>
      </c>
      <c r="AR20" s="202">
        <f t="shared" si="6"/>
        <v>-14979.93200504026</v>
      </c>
      <c r="AS20" s="216">
        <f t="shared" si="7"/>
        <v>-0.22532703143695654</v>
      </c>
      <c r="AT20" s="203">
        <f t="shared" si="8"/>
        <v>-15987.336389489472</v>
      </c>
      <c r="AU20" s="217">
        <f t="shared" si="9"/>
        <v>-0.18241765248139999</v>
      </c>
      <c r="AW20" s="202">
        <f t="shared" si="10"/>
        <v>-14303.828473946567</v>
      </c>
      <c r="AX20" s="216">
        <f t="shared" si="11"/>
        <v>-0.23552388292509724</v>
      </c>
      <c r="AY20" s="203">
        <f t="shared" si="12"/>
        <v>-15512.266190267139</v>
      </c>
      <c r="AZ20" s="217">
        <f t="shared" si="13"/>
        <v>-0.19445494653397791</v>
      </c>
    </row>
    <row r="21" spans="1:52" ht="15" customHeight="1" x14ac:dyDescent="0.25">
      <c r="D21" s="128"/>
      <c r="P21" s="128"/>
      <c r="AI21" s="158"/>
      <c r="AJ21" s="158"/>
      <c r="AK21" s="159"/>
      <c r="AL21" s="159"/>
      <c r="AM21" s="159"/>
      <c r="AN21" s="159"/>
      <c r="AO21" s="159"/>
      <c r="AP21" s="159"/>
    </row>
    <row r="22" spans="1:52" ht="15" customHeight="1" x14ac:dyDescent="0.25">
      <c r="D22" s="128"/>
      <c r="P22" s="128"/>
      <c r="AI22" s="158"/>
      <c r="AJ22" s="158"/>
      <c r="AK22" s="159"/>
      <c r="AL22" s="159"/>
      <c r="AM22" s="159"/>
      <c r="AN22" s="159"/>
      <c r="AO22" s="159"/>
      <c r="AP22" s="159"/>
    </row>
    <row r="23" spans="1:52" ht="18.75" x14ac:dyDescent="0.25">
      <c r="E23" s="129"/>
      <c r="Q23" s="129"/>
      <c r="AA23" s="528"/>
      <c r="AB23" s="47"/>
      <c r="AC23" s="47"/>
      <c r="AD23" s="47"/>
      <c r="AE23" s="47"/>
      <c r="AF23" s="47"/>
      <c r="AG23" s="47"/>
      <c r="AH23" s="47"/>
      <c r="AI23" s="156" t="s">
        <v>926</v>
      </c>
      <c r="AJ23" s="158"/>
      <c r="AK23" s="159"/>
      <c r="AL23" s="159"/>
      <c r="AM23" s="156" t="s">
        <v>927</v>
      </c>
      <c r="AN23" s="157"/>
      <c r="AO23" s="157"/>
      <c r="AP23" s="157"/>
    </row>
    <row r="24" spans="1:52" ht="49.9" customHeight="1" x14ac:dyDescent="0.25">
      <c r="B24" s="110" t="s">
        <v>3</v>
      </c>
      <c r="C24" s="302" t="s">
        <v>765</v>
      </c>
      <c r="D24" s="303"/>
      <c r="E24" s="303"/>
      <c r="F24" s="304"/>
      <c r="G24" s="303"/>
      <c r="H24" s="303" t="s">
        <v>435</v>
      </c>
      <c r="I24" s="303"/>
      <c r="J24" s="303"/>
      <c r="K24" s="305"/>
      <c r="N24" s="297"/>
      <c r="O24" s="297" t="s">
        <v>693</v>
      </c>
      <c r="P24" s="296"/>
      <c r="Q24" s="296"/>
      <c r="R24" s="296"/>
      <c r="S24" s="296"/>
      <c r="T24" s="296" t="s">
        <v>700</v>
      </c>
      <c r="U24" s="296"/>
      <c r="V24" s="296"/>
      <c r="W24" s="296"/>
      <c r="Z24" s="156"/>
      <c r="AA24" s="156" t="s">
        <v>691</v>
      </c>
      <c r="AB24" s="526"/>
      <c r="AC24" s="526"/>
      <c r="AD24" s="526"/>
      <c r="AE24" s="526"/>
      <c r="AF24" s="526"/>
      <c r="AG24" s="526"/>
      <c r="AH24" s="526"/>
      <c r="AI24" s="526" t="s">
        <v>693</v>
      </c>
      <c r="AJ24" s="526"/>
      <c r="AK24" s="526" t="s">
        <v>700</v>
      </c>
      <c r="AL24" s="526"/>
      <c r="AM24" s="526" t="s">
        <v>693</v>
      </c>
      <c r="AN24" s="526"/>
      <c r="AO24" s="526" t="s">
        <v>700</v>
      </c>
      <c r="AP24" s="526"/>
    </row>
    <row r="25" spans="1:52" ht="47.25" x14ac:dyDescent="0.25">
      <c r="B25" s="111" t="s">
        <v>679</v>
      </c>
      <c r="C25" s="113" t="s">
        <v>935</v>
      </c>
      <c r="D25" s="106" t="s">
        <v>733</v>
      </c>
      <c r="E25" s="107" t="s">
        <v>934</v>
      </c>
      <c r="F25" s="107" t="s">
        <v>936</v>
      </c>
      <c r="G25" s="109" t="s">
        <v>734</v>
      </c>
      <c r="H25" s="108" t="s">
        <v>733</v>
      </c>
      <c r="I25" s="107" t="s">
        <v>934</v>
      </c>
      <c r="J25" s="107" t="s">
        <v>936</v>
      </c>
      <c r="K25" s="109" t="s">
        <v>735</v>
      </c>
      <c r="N25" s="160" t="s">
        <v>679</v>
      </c>
      <c r="O25" s="161" t="s">
        <v>697</v>
      </c>
      <c r="P25" s="161" t="s">
        <v>733</v>
      </c>
      <c r="Q25" s="162" t="s">
        <v>698</v>
      </c>
      <c r="R25" s="162" t="s">
        <v>699</v>
      </c>
      <c r="S25" s="162" t="s">
        <v>734</v>
      </c>
      <c r="T25" s="200" t="s">
        <v>733</v>
      </c>
      <c r="U25" s="162" t="s">
        <v>698</v>
      </c>
      <c r="V25" s="162" t="s">
        <v>699</v>
      </c>
      <c r="W25" s="163" t="s">
        <v>735</v>
      </c>
      <c r="Z25" s="205" t="s">
        <v>679</v>
      </c>
      <c r="AA25" s="271" t="s">
        <v>922</v>
      </c>
      <c r="AB25" s="271" t="s">
        <v>923</v>
      </c>
      <c r="AC25" s="271" t="s">
        <v>924</v>
      </c>
      <c r="AD25" s="271" t="s">
        <v>925</v>
      </c>
      <c r="AE25" s="272" t="s">
        <v>928</v>
      </c>
      <c r="AF25" s="272" t="s">
        <v>929</v>
      </c>
      <c r="AG25" s="272" t="s">
        <v>930</v>
      </c>
      <c r="AH25" s="272" t="s">
        <v>931</v>
      </c>
      <c r="AI25" s="273" t="s">
        <v>687</v>
      </c>
      <c r="AJ25" s="273" t="s">
        <v>688</v>
      </c>
      <c r="AK25" s="273" t="s">
        <v>689</v>
      </c>
      <c r="AL25" s="273" t="s">
        <v>690</v>
      </c>
      <c r="AM25" s="218" t="s">
        <v>687</v>
      </c>
      <c r="AN25" s="273" t="s">
        <v>688</v>
      </c>
      <c r="AO25" s="273" t="s">
        <v>689</v>
      </c>
      <c r="AP25" s="273" t="s">
        <v>690</v>
      </c>
    </row>
    <row r="26" spans="1:52" ht="15.75" x14ac:dyDescent="0.25">
      <c r="A26" s="15">
        <v>100</v>
      </c>
      <c r="B26" s="56" t="s">
        <v>430</v>
      </c>
      <c r="C26" s="285">
        <v>28</v>
      </c>
      <c r="D26" s="286">
        <v>60843.3</v>
      </c>
      <c r="E26" s="287">
        <v>41880</v>
      </c>
      <c r="F26" s="287">
        <v>-18963.300000000003</v>
      </c>
      <c r="G26" s="133">
        <f t="shared" ref="G26:G41" si="30">IFERROR(F26/E26,"--")</f>
        <v>-0.45280085959885391</v>
      </c>
      <c r="H26" s="276">
        <v>80713.162141815701</v>
      </c>
      <c r="I26" s="275">
        <v>59924.5693808</v>
      </c>
      <c r="J26" s="287">
        <v>-20788.592761015701</v>
      </c>
      <c r="K26" s="133">
        <f t="shared" ref="K26:K41" si="31">IFERROR(J26/I26,"--")</f>
        <v>-0.34691267665039616</v>
      </c>
      <c r="N26" s="164" t="s">
        <v>430</v>
      </c>
      <c r="O26" s="288">
        <v>27</v>
      </c>
      <c r="P26" s="289">
        <v>52760</v>
      </c>
      <c r="Q26" s="290">
        <v>39000</v>
      </c>
      <c r="R26" s="290">
        <v>-13760</v>
      </c>
      <c r="S26" s="181">
        <v>-0.3528205128205128</v>
      </c>
      <c r="T26" s="291">
        <v>71744.867177280001</v>
      </c>
      <c r="U26" s="277">
        <v>55198.068919999998</v>
      </c>
      <c r="V26" s="290">
        <v>-16546.798257280003</v>
      </c>
      <c r="W26" s="182">
        <v>-0.29977132499438902</v>
      </c>
      <c r="Z26" s="292" t="s">
        <v>430</v>
      </c>
      <c r="AA26" s="189">
        <f>IF($D26="-","-",IF($P26="-","-",D26))</f>
        <v>60843.3</v>
      </c>
      <c r="AB26" s="189">
        <f>IF($D26="-","-",IF($P26="-","-",E26))</f>
        <v>41880</v>
      </c>
      <c r="AC26" s="189">
        <f>IF($D26="-","-",IF($P26="-","-",H26))</f>
        <v>80713.162141815701</v>
      </c>
      <c r="AD26" s="189">
        <f>IF($D26="-","-",IF($P26="-","-",I26))</f>
        <v>59924.5693808</v>
      </c>
      <c r="AE26" s="189">
        <f>IF($D26="-","-",IF($P26="-","-",P26))</f>
        <v>52760</v>
      </c>
      <c r="AF26" s="189">
        <f>IF($D26="-","-",IF($P26="-","-",Q26))</f>
        <v>39000</v>
      </c>
      <c r="AG26" s="189">
        <f>IF($D26="-","-",IF($P26="-","-",T26))</f>
        <v>71744.867177280001</v>
      </c>
      <c r="AH26" s="189">
        <f>IF($D26="-","-",IF($P26="-","-",U26))</f>
        <v>55198.068919999998</v>
      </c>
      <c r="AI26" s="206">
        <f>AA26-AE26</f>
        <v>8083.3000000000029</v>
      </c>
      <c r="AJ26" s="206">
        <f>AB26-AF26</f>
        <v>2880</v>
      </c>
      <c r="AK26" s="189">
        <f>AC26-AG26</f>
        <v>8968.2949645357003</v>
      </c>
      <c r="AL26" s="189">
        <f>AD26-AH26</f>
        <v>4726.5004608000017</v>
      </c>
      <c r="AM26" s="219">
        <f t="shared" ref="AM26:AP40" si="32">IFERROR(AI26/AE26,"-")</f>
        <v>0.1532088703563306</v>
      </c>
      <c r="AN26" s="214">
        <f t="shared" si="32"/>
        <v>7.3846153846153853E-2</v>
      </c>
      <c r="AO26" s="214">
        <f t="shared" si="32"/>
        <v>0.12500260042819844</v>
      </c>
      <c r="AP26" s="214">
        <f t="shared" si="32"/>
        <v>8.5628003900829253E-2</v>
      </c>
    </row>
    <row r="27" spans="1:52" ht="15.75" x14ac:dyDescent="0.25">
      <c r="A27" s="15">
        <v>101</v>
      </c>
      <c r="B27" s="56" t="s">
        <v>238</v>
      </c>
      <c r="C27" s="285">
        <v>5</v>
      </c>
      <c r="D27" s="286">
        <v>47939</v>
      </c>
      <c r="E27" s="287">
        <v>40938</v>
      </c>
      <c r="F27" s="287">
        <v>-7001</v>
      </c>
      <c r="G27" s="133">
        <f t="shared" si="30"/>
        <v>-0.17101470516390641</v>
      </c>
      <c r="H27" s="276">
        <v>62573.120000000003</v>
      </c>
      <c r="I27" s="275">
        <v>58863.254568080003</v>
      </c>
      <c r="J27" s="287">
        <v>-3709.8654319199995</v>
      </c>
      <c r="K27" s="133">
        <f t="shared" si="31"/>
        <v>-6.302514971592757E-2</v>
      </c>
      <c r="N27" s="164" t="s">
        <v>238</v>
      </c>
      <c r="O27" s="288">
        <v>6</v>
      </c>
      <c r="P27" s="289">
        <v>49542.55</v>
      </c>
      <c r="Q27" s="290">
        <v>38124</v>
      </c>
      <c r="R27" s="290">
        <v>-11418.550000000003</v>
      </c>
      <c r="S27" s="181">
        <v>-0.29951080684083525</v>
      </c>
      <c r="T27" s="291">
        <v>62415.490000000005</v>
      </c>
      <c r="U27" s="277">
        <v>54207.46860272</v>
      </c>
      <c r="V27" s="290">
        <v>-8208.0213972800047</v>
      </c>
      <c r="W27" s="182">
        <v>-0.15141864412514083</v>
      </c>
      <c r="Z27" s="292" t="s">
        <v>238</v>
      </c>
      <c r="AA27" s="189">
        <f t="shared" ref="AA27:AB40" si="33">IF($D27="-","-",IF($P27="-","-",D27))</f>
        <v>47939</v>
      </c>
      <c r="AB27" s="189">
        <f t="shared" si="33"/>
        <v>40938</v>
      </c>
      <c r="AC27" s="189">
        <f t="shared" ref="AC27:AD40" si="34">IF($D27="-","-",IF($P27="-","-",H27))</f>
        <v>62573.120000000003</v>
      </c>
      <c r="AD27" s="189">
        <f t="shared" si="34"/>
        <v>58863.254568080003</v>
      </c>
      <c r="AE27" s="189">
        <f t="shared" ref="AE27:AF40" si="35">IF($D27="-","-",IF($P27="-","-",P27))</f>
        <v>49542.55</v>
      </c>
      <c r="AF27" s="189">
        <f t="shared" si="35"/>
        <v>38124</v>
      </c>
      <c r="AG27" s="189">
        <f t="shared" ref="AG27:AH40" si="36">IF($D27="-","-",IF($P27="-","-",T27))</f>
        <v>62415.490000000005</v>
      </c>
      <c r="AH27" s="189">
        <f t="shared" si="36"/>
        <v>54207.46860272</v>
      </c>
      <c r="AI27" s="206">
        <f t="shared" ref="AI27:AL41" si="37">AA27-AE27</f>
        <v>-1603.5500000000029</v>
      </c>
      <c r="AJ27" s="206">
        <f t="shared" si="37"/>
        <v>2814</v>
      </c>
      <c r="AK27" s="189">
        <f t="shared" si="37"/>
        <v>157.62999999999738</v>
      </c>
      <c r="AL27" s="189">
        <f t="shared" si="37"/>
        <v>4655.7859653600026</v>
      </c>
      <c r="AM27" s="219">
        <f t="shared" si="32"/>
        <v>-3.2367126843491155E-2</v>
      </c>
      <c r="AN27" s="214">
        <f t="shared" si="32"/>
        <v>7.3811772112055404E-2</v>
      </c>
      <c r="AO27" s="214">
        <f t="shared" si="32"/>
        <v>2.5254948731476333E-3</v>
      </c>
      <c r="AP27" s="214">
        <f t="shared" si="32"/>
        <v>8.588827490694495E-2</v>
      </c>
    </row>
    <row r="28" spans="1:52" ht="15.75" x14ac:dyDescent="0.25">
      <c r="A28" s="15">
        <v>102</v>
      </c>
      <c r="B28" s="56" t="s">
        <v>53</v>
      </c>
      <c r="C28" s="285">
        <v>19</v>
      </c>
      <c r="D28" s="286">
        <v>54370.25</v>
      </c>
      <c r="E28" s="287">
        <v>43914</v>
      </c>
      <c r="F28" s="287">
        <v>-10456.25</v>
      </c>
      <c r="G28" s="133">
        <f t="shared" si="30"/>
        <v>-0.23810743726374278</v>
      </c>
      <c r="H28" s="276">
        <v>74697.760128640002</v>
      </c>
      <c r="I28" s="275">
        <v>62216.198180239997</v>
      </c>
      <c r="J28" s="287">
        <v>-12481.561948400005</v>
      </c>
      <c r="K28" s="133">
        <f t="shared" si="31"/>
        <v>-0.2006159539392135</v>
      </c>
      <c r="N28" s="164" t="s">
        <v>53</v>
      </c>
      <c r="O28" s="288">
        <v>14</v>
      </c>
      <c r="P28" s="289">
        <v>49266.05</v>
      </c>
      <c r="Q28" s="290">
        <v>40896</v>
      </c>
      <c r="R28" s="290">
        <v>-8370.0500000000029</v>
      </c>
      <c r="S28" s="181">
        <v>-0.20466671557120508</v>
      </c>
      <c r="T28" s="291">
        <v>66407.333844480003</v>
      </c>
      <c r="U28" s="277">
        <v>57342.10796288</v>
      </c>
      <c r="V28" s="290">
        <v>-9065.225881600003</v>
      </c>
      <c r="W28" s="182">
        <v>-0.15809020985884076</v>
      </c>
      <c r="Z28" s="292" t="s">
        <v>53</v>
      </c>
      <c r="AA28" s="189">
        <f t="shared" si="33"/>
        <v>54370.25</v>
      </c>
      <c r="AB28" s="189">
        <f t="shared" si="33"/>
        <v>43914</v>
      </c>
      <c r="AC28" s="189">
        <f t="shared" si="34"/>
        <v>74697.760128640002</v>
      </c>
      <c r="AD28" s="189">
        <f t="shared" si="34"/>
        <v>62216.198180239997</v>
      </c>
      <c r="AE28" s="189">
        <f t="shared" si="35"/>
        <v>49266.05</v>
      </c>
      <c r="AF28" s="189">
        <f t="shared" si="35"/>
        <v>40896</v>
      </c>
      <c r="AG28" s="189">
        <f t="shared" si="36"/>
        <v>66407.333844480003</v>
      </c>
      <c r="AH28" s="189">
        <f t="shared" si="36"/>
        <v>57342.10796288</v>
      </c>
      <c r="AI28" s="206">
        <f t="shared" si="37"/>
        <v>5104.1999999999971</v>
      </c>
      <c r="AJ28" s="206">
        <f t="shared" si="37"/>
        <v>3018</v>
      </c>
      <c r="AK28" s="189">
        <f t="shared" si="37"/>
        <v>8290.4262841599993</v>
      </c>
      <c r="AL28" s="189">
        <f t="shared" si="37"/>
        <v>4874.090217359997</v>
      </c>
      <c r="AM28" s="219">
        <f t="shared" si="32"/>
        <v>0.10360481508056758</v>
      </c>
      <c r="AN28" s="214">
        <f t="shared" si="32"/>
        <v>7.3796948356807515E-2</v>
      </c>
      <c r="AO28" s="214">
        <f t="shared" si="32"/>
        <v>0.12484202879723241</v>
      </c>
      <c r="AP28" s="214">
        <f t="shared" si="32"/>
        <v>8.5000192537658434E-2</v>
      </c>
    </row>
    <row r="29" spans="1:52" ht="15.75" x14ac:dyDescent="0.25">
      <c r="A29" s="15">
        <v>103</v>
      </c>
      <c r="B29" s="56" t="s">
        <v>54</v>
      </c>
      <c r="C29" s="285">
        <v>30</v>
      </c>
      <c r="D29" s="286">
        <v>67772.165000000008</v>
      </c>
      <c r="E29" s="287">
        <v>47238</v>
      </c>
      <c r="F29" s="287">
        <v>-20534.165000000008</v>
      </c>
      <c r="G29" s="133">
        <f t="shared" si="30"/>
        <v>-0.4346959016046405</v>
      </c>
      <c r="H29" s="276">
        <v>89023.153341855796</v>
      </c>
      <c r="I29" s="275">
        <v>65961.219876079995</v>
      </c>
      <c r="J29" s="287">
        <v>-23061.933465775801</v>
      </c>
      <c r="K29" s="133">
        <f t="shared" si="31"/>
        <v>-0.34962866831604672</v>
      </c>
      <c r="N29" s="164" t="s">
        <v>54</v>
      </c>
      <c r="O29" s="288">
        <v>27</v>
      </c>
      <c r="P29" s="289">
        <v>63313.75</v>
      </c>
      <c r="Q29" s="290">
        <v>43992</v>
      </c>
      <c r="R29" s="290">
        <v>-19321.75</v>
      </c>
      <c r="S29" s="181">
        <v>-0.4392105382796872</v>
      </c>
      <c r="T29" s="291">
        <v>81960.971706299999</v>
      </c>
      <c r="U29" s="277">
        <v>60843.133741760001</v>
      </c>
      <c r="V29" s="290">
        <v>-21117.837964539998</v>
      </c>
      <c r="W29" s="182">
        <v>-0.34708662532360096</v>
      </c>
      <c r="Z29" s="292" t="s">
        <v>54</v>
      </c>
      <c r="AA29" s="189">
        <f t="shared" si="33"/>
        <v>67772.165000000008</v>
      </c>
      <c r="AB29" s="189">
        <f t="shared" si="33"/>
        <v>47238</v>
      </c>
      <c r="AC29" s="189">
        <f t="shared" si="34"/>
        <v>89023.153341855796</v>
      </c>
      <c r="AD29" s="189">
        <f t="shared" si="34"/>
        <v>65961.219876079995</v>
      </c>
      <c r="AE29" s="189">
        <f t="shared" si="35"/>
        <v>63313.75</v>
      </c>
      <c r="AF29" s="189">
        <f t="shared" si="35"/>
        <v>43992</v>
      </c>
      <c r="AG29" s="189">
        <f t="shared" si="36"/>
        <v>81960.971706299999</v>
      </c>
      <c r="AH29" s="189">
        <f t="shared" si="36"/>
        <v>60843.133741760001</v>
      </c>
      <c r="AI29" s="206">
        <f t="shared" si="37"/>
        <v>4458.4150000000081</v>
      </c>
      <c r="AJ29" s="206">
        <f t="shared" si="37"/>
        <v>3246</v>
      </c>
      <c r="AK29" s="189">
        <f t="shared" si="37"/>
        <v>7062.1816355557967</v>
      </c>
      <c r="AL29" s="189">
        <f t="shared" si="37"/>
        <v>5118.086134319994</v>
      </c>
      <c r="AM29" s="219">
        <f t="shared" si="32"/>
        <v>7.0417800240864081E-2</v>
      </c>
      <c r="AN29" s="214">
        <f t="shared" si="32"/>
        <v>7.378614293507911E-2</v>
      </c>
      <c r="AO29" s="214">
        <f t="shared" si="32"/>
        <v>8.6165177016964967E-2</v>
      </c>
      <c r="AP29" s="214">
        <f t="shared" si="32"/>
        <v>8.4119370906222221E-2</v>
      </c>
    </row>
    <row r="30" spans="1:52" ht="15" customHeight="1" x14ac:dyDescent="0.25">
      <c r="A30" s="15">
        <v>104</v>
      </c>
      <c r="B30" s="56" t="s">
        <v>55</v>
      </c>
      <c r="C30" s="285">
        <v>22</v>
      </c>
      <c r="D30" s="286">
        <v>71120.250976219861</v>
      </c>
      <c r="E30" s="287">
        <v>49560</v>
      </c>
      <c r="F30" s="287">
        <v>-21560.250976219861</v>
      </c>
      <c r="G30" s="133">
        <f t="shared" si="30"/>
        <v>-0.43503331267594553</v>
      </c>
      <c r="H30" s="276">
        <v>93062.546501137462</v>
      </c>
      <c r="I30" s="275">
        <v>68577.327089600003</v>
      </c>
      <c r="J30" s="287">
        <v>-24485.219411537459</v>
      </c>
      <c r="K30" s="133">
        <f t="shared" si="31"/>
        <v>-0.35704540335242563</v>
      </c>
      <c r="N30" s="164" t="s">
        <v>55</v>
      </c>
      <c r="O30" s="288">
        <v>19</v>
      </c>
      <c r="P30" s="289">
        <v>65613.483749999999</v>
      </c>
      <c r="Q30" s="290">
        <v>46152</v>
      </c>
      <c r="R30" s="290">
        <v>-19461.483749999999</v>
      </c>
      <c r="S30" s="181">
        <v>-0.42168234854394177</v>
      </c>
      <c r="T30" s="291">
        <v>86002.161895792</v>
      </c>
      <c r="U30" s="277">
        <v>63285.709866559999</v>
      </c>
      <c r="V30" s="290">
        <v>-22716.452029232001</v>
      </c>
      <c r="W30" s="182">
        <v>-0.35895073433055247</v>
      </c>
      <c r="Z30" s="292" t="s">
        <v>55</v>
      </c>
      <c r="AA30" s="189">
        <f t="shared" si="33"/>
        <v>71120.250976219861</v>
      </c>
      <c r="AB30" s="189">
        <f t="shared" si="33"/>
        <v>49560</v>
      </c>
      <c r="AC30" s="189">
        <f t="shared" si="34"/>
        <v>93062.546501137462</v>
      </c>
      <c r="AD30" s="189">
        <f t="shared" si="34"/>
        <v>68577.327089600003</v>
      </c>
      <c r="AE30" s="189">
        <f t="shared" si="35"/>
        <v>65613.483749999999</v>
      </c>
      <c r="AF30" s="189">
        <f t="shared" si="35"/>
        <v>46152</v>
      </c>
      <c r="AG30" s="189">
        <f t="shared" si="36"/>
        <v>86002.161895792</v>
      </c>
      <c r="AH30" s="189">
        <f t="shared" si="36"/>
        <v>63285.709866559999</v>
      </c>
      <c r="AI30" s="206">
        <f t="shared" si="37"/>
        <v>5506.7672262198612</v>
      </c>
      <c r="AJ30" s="206">
        <f t="shared" si="37"/>
        <v>3408</v>
      </c>
      <c r="AK30" s="189">
        <f t="shared" si="37"/>
        <v>7060.3846053454618</v>
      </c>
      <c r="AL30" s="189">
        <f t="shared" si="37"/>
        <v>5291.6172230400043</v>
      </c>
      <c r="AM30" s="219">
        <f t="shared" si="32"/>
        <v>8.3927371501895928E-2</v>
      </c>
      <c r="AN30" s="214">
        <f t="shared" si="32"/>
        <v>7.3842953718148724E-2</v>
      </c>
      <c r="AO30" s="214">
        <f t="shared" si="32"/>
        <v>8.2095431669502242E-2</v>
      </c>
      <c r="AP30" s="214">
        <f t="shared" si="32"/>
        <v>8.3614724938656029E-2</v>
      </c>
    </row>
    <row r="31" spans="1:52" ht="15" customHeight="1" x14ac:dyDescent="0.25">
      <c r="A31" s="15">
        <v>105</v>
      </c>
      <c r="B31" s="56" t="s">
        <v>56</v>
      </c>
      <c r="C31" s="285">
        <v>16</v>
      </c>
      <c r="D31" s="286">
        <v>91841.75</v>
      </c>
      <c r="E31" s="287">
        <v>66432</v>
      </c>
      <c r="F31" s="287">
        <v>-25409.75</v>
      </c>
      <c r="G31" s="133">
        <f t="shared" si="30"/>
        <v>-0.38249262403660889</v>
      </c>
      <c r="H31" s="276">
        <v>116109.42876077142</v>
      </c>
      <c r="I31" s="275">
        <v>87586.354181119998</v>
      </c>
      <c r="J31" s="287">
        <v>-28523.074579651424</v>
      </c>
      <c r="K31" s="133">
        <f t="shared" si="31"/>
        <v>-0.32565660308988886</v>
      </c>
      <c r="N31" s="164" t="s">
        <v>56</v>
      </c>
      <c r="O31" s="288">
        <v>14</v>
      </c>
      <c r="P31" s="289">
        <v>83731.088717065111</v>
      </c>
      <c r="Q31" s="290">
        <v>61866</v>
      </c>
      <c r="R31" s="290">
        <v>-21865.088717065111</v>
      </c>
      <c r="S31" s="181">
        <v>-0.3534265786872452</v>
      </c>
      <c r="T31" s="291">
        <v>106360.61667811949</v>
      </c>
      <c r="U31" s="277">
        <v>81055.451174479997</v>
      </c>
      <c r="V31" s="290">
        <v>-25305.165503639495</v>
      </c>
      <c r="W31" s="182">
        <v>-0.31219572696187436</v>
      </c>
      <c r="Z31" s="292" t="s">
        <v>56</v>
      </c>
      <c r="AA31" s="189">
        <f t="shared" si="33"/>
        <v>91841.75</v>
      </c>
      <c r="AB31" s="189">
        <f t="shared" si="33"/>
        <v>66432</v>
      </c>
      <c r="AC31" s="189">
        <f t="shared" si="34"/>
        <v>116109.42876077142</v>
      </c>
      <c r="AD31" s="189">
        <f t="shared" si="34"/>
        <v>87586.354181119998</v>
      </c>
      <c r="AE31" s="189">
        <f t="shared" si="35"/>
        <v>83731.088717065111</v>
      </c>
      <c r="AF31" s="189">
        <f t="shared" si="35"/>
        <v>61866</v>
      </c>
      <c r="AG31" s="189">
        <f t="shared" si="36"/>
        <v>106360.61667811949</v>
      </c>
      <c r="AH31" s="189">
        <f t="shared" si="36"/>
        <v>81055.451174479997</v>
      </c>
      <c r="AI31" s="206">
        <f t="shared" si="37"/>
        <v>8110.6612829348887</v>
      </c>
      <c r="AJ31" s="206">
        <f t="shared" si="37"/>
        <v>4566</v>
      </c>
      <c r="AK31" s="189">
        <f t="shared" si="37"/>
        <v>9748.8120826519298</v>
      </c>
      <c r="AL31" s="189">
        <f t="shared" si="37"/>
        <v>6530.903006640001</v>
      </c>
      <c r="AM31" s="219">
        <f t="shared" si="32"/>
        <v>9.6865589677706726E-2</v>
      </c>
      <c r="AN31" s="214">
        <f t="shared" si="32"/>
        <v>7.3804674619338567E-2</v>
      </c>
      <c r="AO31" s="214">
        <f t="shared" si="32"/>
        <v>9.1658100405292736E-2</v>
      </c>
      <c r="AP31" s="214">
        <f t="shared" si="32"/>
        <v>8.0573273135961909E-2</v>
      </c>
    </row>
    <row r="32" spans="1:52" ht="15" customHeight="1" x14ac:dyDescent="0.25">
      <c r="A32" s="15">
        <v>106</v>
      </c>
      <c r="B32" s="56" t="s">
        <v>57</v>
      </c>
      <c r="C32" s="285">
        <v>14</v>
      </c>
      <c r="D32" s="286">
        <v>75942.75</v>
      </c>
      <c r="E32" s="287">
        <v>46074</v>
      </c>
      <c r="F32" s="287">
        <v>-29868.75</v>
      </c>
      <c r="G32" s="133">
        <f t="shared" si="30"/>
        <v>-0.64827777054303948</v>
      </c>
      <c r="H32" s="276">
        <v>95951.43209029561</v>
      </c>
      <c r="I32" s="275">
        <v>64649.786285840004</v>
      </c>
      <c r="J32" s="287">
        <v>-31301.645804455606</v>
      </c>
      <c r="K32" s="133">
        <f t="shared" si="31"/>
        <v>-0.48417245597780861</v>
      </c>
      <c r="N32" s="164" t="s">
        <v>57</v>
      </c>
      <c r="O32" s="288">
        <v>11</v>
      </c>
      <c r="P32" s="289">
        <v>67228.55</v>
      </c>
      <c r="Q32" s="290">
        <v>42900</v>
      </c>
      <c r="R32" s="290">
        <v>-24328.550000000003</v>
      </c>
      <c r="S32" s="181">
        <v>-0.5670990675990677</v>
      </c>
      <c r="T32" s="291">
        <v>81187.350000000006</v>
      </c>
      <c r="U32" s="277">
        <v>59608.275812</v>
      </c>
      <c r="V32" s="290">
        <v>-21579.074188000006</v>
      </c>
      <c r="W32" s="182">
        <v>-0.36201473527029665</v>
      </c>
      <c r="Z32" s="292" t="s">
        <v>57</v>
      </c>
      <c r="AA32" s="189">
        <f t="shared" si="33"/>
        <v>75942.75</v>
      </c>
      <c r="AB32" s="189">
        <f t="shared" si="33"/>
        <v>46074</v>
      </c>
      <c r="AC32" s="189">
        <f t="shared" si="34"/>
        <v>95951.43209029561</v>
      </c>
      <c r="AD32" s="189">
        <f t="shared" si="34"/>
        <v>64649.786285840004</v>
      </c>
      <c r="AE32" s="189">
        <f t="shared" si="35"/>
        <v>67228.55</v>
      </c>
      <c r="AF32" s="189">
        <f t="shared" si="35"/>
        <v>42900</v>
      </c>
      <c r="AG32" s="189">
        <f t="shared" si="36"/>
        <v>81187.350000000006</v>
      </c>
      <c r="AH32" s="189">
        <f t="shared" si="36"/>
        <v>59608.275812</v>
      </c>
      <c r="AI32" s="206">
        <f t="shared" si="37"/>
        <v>8714.1999999999971</v>
      </c>
      <c r="AJ32" s="206">
        <f t="shared" si="37"/>
        <v>3174</v>
      </c>
      <c r="AK32" s="189">
        <f t="shared" si="37"/>
        <v>14764.082090295604</v>
      </c>
      <c r="AL32" s="189">
        <f t="shared" si="37"/>
        <v>5041.5104738400041</v>
      </c>
      <c r="AM32" s="219">
        <f t="shared" si="32"/>
        <v>0.12962052580339747</v>
      </c>
      <c r="AN32" s="214">
        <f t="shared" si="32"/>
        <v>7.3986013986013982E-2</v>
      </c>
      <c r="AO32" s="214">
        <f t="shared" si="32"/>
        <v>0.18185200145460595</v>
      </c>
      <c r="AP32" s="214">
        <f t="shared" si="32"/>
        <v>8.4577357844413212E-2</v>
      </c>
    </row>
    <row r="33" spans="1:42" ht="15" customHeight="1" x14ac:dyDescent="0.25">
      <c r="A33" s="15">
        <v>107</v>
      </c>
      <c r="B33" s="56" t="s">
        <v>58</v>
      </c>
      <c r="C33" s="285">
        <v>14</v>
      </c>
      <c r="D33" s="286">
        <v>61804.75</v>
      </c>
      <c r="E33" s="287">
        <v>49560</v>
      </c>
      <c r="F33" s="287">
        <v>-12244.75</v>
      </c>
      <c r="G33" s="133">
        <f t="shared" si="30"/>
        <v>-0.24706920903954802</v>
      </c>
      <c r="H33" s="276">
        <v>84940.557482798831</v>
      </c>
      <c r="I33" s="275">
        <v>68577.327089600003</v>
      </c>
      <c r="J33" s="287">
        <v>-16363.230393198828</v>
      </c>
      <c r="K33" s="133">
        <f t="shared" si="31"/>
        <v>-0.23860991799548237</v>
      </c>
      <c r="N33" s="164" t="s">
        <v>58</v>
      </c>
      <c r="O33" s="288">
        <v>16</v>
      </c>
      <c r="P33" s="289">
        <v>58963.756000000001</v>
      </c>
      <c r="Q33" s="290">
        <v>46152</v>
      </c>
      <c r="R33" s="290">
        <v>-12811.756000000001</v>
      </c>
      <c r="S33" s="181">
        <v>-0.27759915063269203</v>
      </c>
      <c r="T33" s="291">
        <v>79637.83188827199</v>
      </c>
      <c r="U33" s="277">
        <v>63285.709866559999</v>
      </c>
      <c r="V33" s="290">
        <v>-16352.122021711992</v>
      </c>
      <c r="W33" s="182">
        <v>-0.25838569332936262</v>
      </c>
      <c r="Z33" s="292" t="s">
        <v>58</v>
      </c>
      <c r="AA33" s="189">
        <f t="shared" si="33"/>
        <v>61804.75</v>
      </c>
      <c r="AB33" s="189">
        <f t="shared" si="33"/>
        <v>49560</v>
      </c>
      <c r="AC33" s="189">
        <f t="shared" si="34"/>
        <v>84940.557482798831</v>
      </c>
      <c r="AD33" s="189">
        <f t="shared" si="34"/>
        <v>68577.327089600003</v>
      </c>
      <c r="AE33" s="189">
        <f t="shared" si="35"/>
        <v>58963.756000000001</v>
      </c>
      <c r="AF33" s="189">
        <f t="shared" si="35"/>
        <v>46152</v>
      </c>
      <c r="AG33" s="189">
        <f t="shared" si="36"/>
        <v>79637.83188827199</v>
      </c>
      <c r="AH33" s="189">
        <f t="shared" si="36"/>
        <v>63285.709866559999</v>
      </c>
      <c r="AI33" s="206">
        <f t="shared" si="37"/>
        <v>2840.9939999999988</v>
      </c>
      <c r="AJ33" s="206">
        <f t="shared" si="37"/>
        <v>3408</v>
      </c>
      <c r="AK33" s="189">
        <f t="shared" si="37"/>
        <v>5302.7255945268407</v>
      </c>
      <c r="AL33" s="189">
        <f t="shared" si="37"/>
        <v>5291.6172230400043</v>
      </c>
      <c r="AM33" s="219">
        <f t="shared" si="32"/>
        <v>4.8182039149609106E-2</v>
      </c>
      <c r="AN33" s="214">
        <f t="shared" si="32"/>
        <v>7.3842953718148724E-2</v>
      </c>
      <c r="AO33" s="214">
        <f t="shared" si="32"/>
        <v>6.6585509283656877E-2</v>
      </c>
      <c r="AP33" s="214">
        <f t="shared" si="32"/>
        <v>8.3614724938656029E-2</v>
      </c>
    </row>
    <row r="34" spans="1:42" ht="15" customHeight="1" x14ac:dyDescent="0.25">
      <c r="A34" s="15">
        <v>108</v>
      </c>
      <c r="B34" s="56" t="s">
        <v>59</v>
      </c>
      <c r="C34" s="285">
        <v>12</v>
      </c>
      <c r="D34" s="286">
        <v>46196.5</v>
      </c>
      <c r="E34" s="287">
        <v>37392</v>
      </c>
      <c r="F34" s="287">
        <v>-8804.5</v>
      </c>
      <c r="G34" s="133">
        <f t="shared" si="30"/>
        <v>-0.23546480530594779</v>
      </c>
      <c r="H34" s="276">
        <v>64111.651091243279</v>
      </c>
      <c r="I34" s="275">
        <v>54868.114094720004</v>
      </c>
      <c r="J34" s="287">
        <v>-9243.5369965232749</v>
      </c>
      <c r="K34" s="133">
        <f t="shared" si="31"/>
        <v>-0.16846828342898679</v>
      </c>
      <c r="N34" s="164" t="s">
        <v>59</v>
      </c>
      <c r="O34" s="288">
        <v>14</v>
      </c>
      <c r="P34" s="289">
        <v>44691.660273972608</v>
      </c>
      <c r="Q34" s="290">
        <v>34818</v>
      </c>
      <c r="R34" s="290">
        <v>-9873.6602739726077</v>
      </c>
      <c r="S34" s="181">
        <v>-0.28357919104981927</v>
      </c>
      <c r="T34" s="291">
        <v>60892.283740869367</v>
      </c>
      <c r="U34" s="277">
        <v>50468.970145040003</v>
      </c>
      <c r="V34" s="290">
        <v>-10423.313595829364</v>
      </c>
      <c r="W34" s="182">
        <v>-0.20652915179117734</v>
      </c>
      <c r="Z34" s="292" t="s">
        <v>59</v>
      </c>
      <c r="AA34" s="189">
        <f t="shared" si="33"/>
        <v>46196.5</v>
      </c>
      <c r="AB34" s="189">
        <f t="shared" si="33"/>
        <v>37392</v>
      </c>
      <c r="AC34" s="189">
        <f t="shared" si="34"/>
        <v>64111.651091243279</v>
      </c>
      <c r="AD34" s="189">
        <f t="shared" si="34"/>
        <v>54868.114094720004</v>
      </c>
      <c r="AE34" s="189">
        <f t="shared" si="35"/>
        <v>44691.660273972608</v>
      </c>
      <c r="AF34" s="189">
        <f t="shared" si="35"/>
        <v>34818</v>
      </c>
      <c r="AG34" s="189">
        <f t="shared" si="36"/>
        <v>60892.283740869367</v>
      </c>
      <c r="AH34" s="189">
        <f t="shared" si="36"/>
        <v>50468.970145040003</v>
      </c>
      <c r="AI34" s="206">
        <f t="shared" si="37"/>
        <v>1504.8397260273923</v>
      </c>
      <c r="AJ34" s="206">
        <f t="shared" si="37"/>
        <v>2574</v>
      </c>
      <c r="AK34" s="189">
        <f t="shared" si="37"/>
        <v>3219.3673503739119</v>
      </c>
      <c r="AL34" s="189">
        <f t="shared" si="37"/>
        <v>4399.1439496800012</v>
      </c>
      <c r="AM34" s="219">
        <f t="shared" si="32"/>
        <v>3.3671600401558054E-2</v>
      </c>
      <c r="AN34" s="214">
        <f t="shared" si="32"/>
        <v>7.3927278993623988E-2</v>
      </c>
      <c r="AO34" s="214">
        <f t="shared" si="32"/>
        <v>5.2869873694902224E-2</v>
      </c>
      <c r="AP34" s="214">
        <f t="shared" si="32"/>
        <v>8.7165320335198901E-2</v>
      </c>
    </row>
    <row r="35" spans="1:42" ht="15" customHeight="1" x14ac:dyDescent="0.25">
      <c r="A35" s="15">
        <v>109</v>
      </c>
      <c r="B35" s="56" t="s">
        <v>60</v>
      </c>
      <c r="C35" s="285">
        <v>19</v>
      </c>
      <c r="D35" s="286">
        <v>74930.625</v>
      </c>
      <c r="E35" s="287">
        <v>61710</v>
      </c>
      <c r="F35" s="287">
        <v>-13220.625</v>
      </c>
      <c r="G35" s="133">
        <f t="shared" si="30"/>
        <v>-0.2142379679144385</v>
      </c>
      <c r="H35" s="276">
        <v>97302.699573360005</v>
      </c>
      <c r="I35" s="275">
        <v>82266.260183599996</v>
      </c>
      <c r="J35" s="287">
        <v>-15036.439389760009</v>
      </c>
      <c r="K35" s="133">
        <f t="shared" si="31"/>
        <v>-0.18277771903331963</v>
      </c>
      <c r="N35" s="164" t="s">
        <v>60</v>
      </c>
      <c r="O35" s="288">
        <v>21</v>
      </c>
      <c r="P35" s="289">
        <v>70894.5</v>
      </c>
      <c r="Q35" s="290">
        <v>57462</v>
      </c>
      <c r="R35" s="290">
        <v>-13432.5</v>
      </c>
      <c r="S35" s="181">
        <v>-0.23376318262503915</v>
      </c>
      <c r="T35" s="291">
        <v>92255.117373820001</v>
      </c>
      <c r="U35" s="277">
        <v>76075.309853359999</v>
      </c>
      <c r="V35" s="290">
        <v>-16179.807520460003</v>
      </c>
      <c r="W35" s="182">
        <v>-0.21268145409657366</v>
      </c>
      <c r="Z35" s="292" t="s">
        <v>60</v>
      </c>
      <c r="AA35" s="189">
        <f t="shared" si="33"/>
        <v>74930.625</v>
      </c>
      <c r="AB35" s="189">
        <f t="shared" si="33"/>
        <v>61710</v>
      </c>
      <c r="AC35" s="189">
        <f t="shared" si="34"/>
        <v>97302.699573360005</v>
      </c>
      <c r="AD35" s="189">
        <f t="shared" si="34"/>
        <v>82266.260183599996</v>
      </c>
      <c r="AE35" s="189">
        <f t="shared" si="35"/>
        <v>70894.5</v>
      </c>
      <c r="AF35" s="189">
        <f t="shared" si="35"/>
        <v>57462</v>
      </c>
      <c r="AG35" s="189">
        <f t="shared" si="36"/>
        <v>92255.117373820001</v>
      </c>
      <c r="AH35" s="189">
        <f t="shared" si="36"/>
        <v>76075.309853359999</v>
      </c>
      <c r="AI35" s="206">
        <f t="shared" si="37"/>
        <v>4036.125</v>
      </c>
      <c r="AJ35" s="206">
        <f t="shared" si="37"/>
        <v>4248</v>
      </c>
      <c r="AK35" s="189">
        <f t="shared" si="37"/>
        <v>5047.5821995400038</v>
      </c>
      <c r="AL35" s="189">
        <f t="shared" si="37"/>
        <v>6190.9503302399971</v>
      </c>
      <c r="AM35" s="219">
        <f t="shared" si="32"/>
        <v>5.6931426274252586E-2</v>
      </c>
      <c r="AN35" s="214">
        <f t="shared" si="32"/>
        <v>7.392711705126867E-2</v>
      </c>
      <c r="AO35" s="214">
        <f t="shared" si="32"/>
        <v>5.471330310151877E-2</v>
      </c>
      <c r="AP35" s="214">
        <f t="shared" si="32"/>
        <v>8.1379232528575277E-2</v>
      </c>
    </row>
    <row r="36" spans="1:42" ht="15" customHeight="1" x14ac:dyDescent="0.25">
      <c r="A36" s="15">
        <v>110</v>
      </c>
      <c r="B36" s="56" t="s">
        <v>61</v>
      </c>
      <c r="C36" s="285">
        <v>30</v>
      </c>
      <c r="D36" s="286">
        <v>80800.146249999991</v>
      </c>
      <c r="E36" s="287">
        <v>64800</v>
      </c>
      <c r="F36" s="287">
        <v>-16000.146249999991</v>
      </c>
      <c r="G36" s="133">
        <f t="shared" si="30"/>
        <v>-0.24691583719135787</v>
      </c>
      <c r="H36" s="276">
        <v>103367.7856544</v>
      </c>
      <c r="I36" s="275">
        <v>85747.643167999995</v>
      </c>
      <c r="J36" s="287">
        <v>-17620.1424864</v>
      </c>
      <c r="K36" s="133">
        <f t="shared" si="31"/>
        <v>-0.20548835904303464</v>
      </c>
      <c r="N36" s="164" t="s">
        <v>61</v>
      </c>
      <c r="O36" s="288">
        <v>27</v>
      </c>
      <c r="P36" s="289">
        <v>77344.66</v>
      </c>
      <c r="Q36" s="290">
        <v>57462</v>
      </c>
      <c r="R36" s="290">
        <v>-19882.660000000003</v>
      </c>
      <c r="S36" s="181">
        <v>-0.34601406146670849</v>
      </c>
      <c r="T36" s="291">
        <v>97542.784279920001</v>
      </c>
      <c r="U36" s="277">
        <v>76075.309853359999</v>
      </c>
      <c r="V36" s="290">
        <v>-21467.474426560002</v>
      </c>
      <c r="W36" s="182">
        <v>-0.28218714413309554</v>
      </c>
      <c r="Z36" s="292" t="s">
        <v>61</v>
      </c>
      <c r="AA36" s="189">
        <f t="shared" si="33"/>
        <v>80800.146249999991</v>
      </c>
      <c r="AB36" s="189">
        <f t="shared" si="33"/>
        <v>64800</v>
      </c>
      <c r="AC36" s="189">
        <f t="shared" si="34"/>
        <v>103367.7856544</v>
      </c>
      <c r="AD36" s="189">
        <f t="shared" si="34"/>
        <v>85747.643167999995</v>
      </c>
      <c r="AE36" s="189">
        <f t="shared" si="35"/>
        <v>77344.66</v>
      </c>
      <c r="AF36" s="189">
        <f t="shared" si="35"/>
        <v>57462</v>
      </c>
      <c r="AG36" s="189">
        <f t="shared" si="36"/>
        <v>97542.784279920001</v>
      </c>
      <c r="AH36" s="189">
        <f t="shared" si="36"/>
        <v>76075.309853359999</v>
      </c>
      <c r="AI36" s="206">
        <f t="shared" si="37"/>
        <v>3455.4862499999872</v>
      </c>
      <c r="AJ36" s="206">
        <f t="shared" si="37"/>
        <v>7338</v>
      </c>
      <c r="AK36" s="189">
        <f t="shared" si="37"/>
        <v>5825.0013744799944</v>
      </c>
      <c r="AL36" s="189">
        <f t="shared" si="37"/>
        <v>9672.3333146399964</v>
      </c>
      <c r="AM36" s="219">
        <f t="shared" si="32"/>
        <v>4.4676468291411288E-2</v>
      </c>
      <c r="AN36" s="214">
        <f t="shared" si="32"/>
        <v>0.12770178552782707</v>
      </c>
      <c r="AO36" s="214">
        <f t="shared" si="32"/>
        <v>5.9717399062178704E-2</v>
      </c>
      <c r="AP36" s="214">
        <f t="shared" si="32"/>
        <v>0.1271415566138874</v>
      </c>
    </row>
    <row r="37" spans="1:42" ht="15" customHeight="1" x14ac:dyDescent="0.25">
      <c r="A37" s="15">
        <v>111</v>
      </c>
      <c r="B37" s="56" t="s">
        <v>62</v>
      </c>
      <c r="C37" s="285">
        <v>13</v>
      </c>
      <c r="D37" s="286">
        <v>90348.538685103558</v>
      </c>
      <c r="E37" s="287">
        <v>61710</v>
      </c>
      <c r="F37" s="287">
        <v>-28638.538685103558</v>
      </c>
      <c r="G37" s="133">
        <f t="shared" si="30"/>
        <v>-0.46408262332042716</v>
      </c>
      <c r="H37" s="276">
        <v>113029.18333105984</v>
      </c>
      <c r="I37" s="275">
        <v>82266.260183599996</v>
      </c>
      <c r="J37" s="287">
        <v>-30762.923147459849</v>
      </c>
      <c r="K37" s="133">
        <f t="shared" si="31"/>
        <v>-0.37394337701511954</v>
      </c>
      <c r="N37" s="164" t="s">
        <v>62</v>
      </c>
      <c r="O37" s="288">
        <v>12</v>
      </c>
      <c r="P37" s="289">
        <v>75970.903091976521</v>
      </c>
      <c r="Q37" s="290">
        <v>57462</v>
      </c>
      <c r="R37" s="290">
        <v>-18508.903091976521</v>
      </c>
      <c r="S37" s="181">
        <v>-0.322106837422584</v>
      </c>
      <c r="T37" s="291">
        <v>100678.38422365428</v>
      </c>
      <c r="U37" s="277">
        <v>76075.309853359999</v>
      </c>
      <c r="V37" s="290">
        <v>-24603.074370294285</v>
      </c>
      <c r="W37" s="182">
        <v>-0.3234041953653331</v>
      </c>
      <c r="Z37" s="292" t="s">
        <v>62</v>
      </c>
      <c r="AA37" s="189">
        <f t="shared" si="33"/>
        <v>90348.538685103558</v>
      </c>
      <c r="AB37" s="189">
        <f t="shared" si="33"/>
        <v>61710</v>
      </c>
      <c r="AC37" s="189">
        <f t="shared" si="34"/>
        <v>113029.18333105984</v>
      </c>
      <c r="AD37" s="189">
        <f t="shared" si="34"/>
        <v>82266.260183599996</v>
      </c>
      <c r="AE37" s="189">
        <f t="shared" si="35"/>
        <v>75970.903091976521</v>
      </c>
      <c r="AF37" s="189">
        <f t="shared" si="35"/>
        <v>57462</v>
      </c>
      <c r="AG37" s="189">
        <f t="shared" si="36"/>
        <v>100678.38422365428</v>
      </c>
      <c r="AH37" s="189">
        <f t="shared" si="36"/>
        <v>76075.309853359999</v>
      </c>
      <c r="AI37" s="206">
        <f t="shared" si="37"/>
        <v>14377.635593127037</v>
      </c>
      <c r="AJ37" s="206">
        <f t="shared" si="37"/>
        <v>4248</v>
      </c>
      <c r="AK37" s="189">
        <f t="shared" si="37"/>
        <v>12350.799107405561</v>
      </c>
      <c r="AL37" s="189">
        <f t="shared" si="37"/>
        <v>6190.9503302399971</v>
      </c>
      <c r="AM37" s="219">
        <f t="shared" si="32"/>
        <v>0.18925187154508757</v>
      </c>
      <c r="AN37" s="214">
        <f t="shared" si="32"/>
        <v>7.392711705126867E-2</v>
      </c>
      <c r="AO37" s="214">
        <f t="shared" si="32"/>
        <v>0.12267577795019631</v>
      </c>
      <c r="AP37" s="214">
        <f t="shared" si="32"/>
        <v>8.1379232528575277E-2</v>
      </c>
    </row>
    <row r="38" spans="1:42" ht="15" customHeight="1" x14ac:dyDescent="0.25">
      <c r="A38" s="15">
        <v>112</v>
      </c>
      <c r="B38" s="56" t="s">
        <v>63</v>
      </c>
      <c r="C38" s="285">
        <v>28</v>
      </c>
      <c r="D38" s="286">
        <v>47639.428</v>
      </c>
      <c r="E38" s="287">
        <v>40938</v>
      </c>
      <c r="F38" s="287">
        <v>-6701.4279999999999</v>
      </c>
      <c r="G38" s="133">
        <f t="shared" si="30"/>
        <v>-0.16369700522741706</v>
      </c>
      <c r="H38" s="276">
        <v>66963.193527012962</v>
      </c>
      <c r="I38" s="275">
        <v>58863.254568080003</v>
      </c>
      <c r="J38" s="287">
        <v>-8099.9389589329585</v>
      </c>
      <c r="K38" s="133">
        <f t="shared" si="31"/>
        <v>-0.13760603314185998</v>
      </c>
      <c r="N38" s="164" t="s">
        <v>63</v>
      </c>
      <c r="O38" s="288">
        <v>22</v>
      </c>
      <c r="P38" s="289">
        <v>43310.246986301368</v>
      </c>
      <c r="Q38" s="290">
        <v>36348</v>
      </c>
      <c r="R38" s="290">
        <v>-6962.2469863013685</v>
      </c>
      <c r="S38" s="181">
        <v>-0.19154415611041511</v>
      </c>
      <c r="T38" s="291">
        <v>59893.525407054272</v>
      </c>
      <c r="U38" s="277">
        <v>52199.128233440002</v>
      </c>
      <c r="V38" s="290">
        <v>-7694.3971736142703</v>
      </c>
      <c r="W38" s="182">
        <v>-0.14740470643885306</v>
      </c>
      <c r="Z38" s="292" t="s">
        <v>63</v>
      </c>
      <c r="AA38" s="189">
        <f t="shared" si="33"/>
        <v>47639.428</v>
      </c>
      <c r="AB38" s="189">
        <f t="shared" si="33"/>
        <v>40938</v>
      </c>
      <c r="AC38" s="189">
        <f t="shared" si="34"/>
        <v>66963.193527012962</v>
      </c>
      <c r="AD38" s="189">
        <f t="shared" si="34"/>
        <v>58863.254568080003</v>
      </c>
      <c r="AE38" s="189">
        <f t="shared" si="35"/>
        <v>43310.246986301368</v>
      </c>
      <c r="AF38" s="189">
        <f t="shared" si="35"/>
        <v>36348</v>
      </c>
      <c r="AG38" s="189">
        <f t="shared" si="36"/>
        <v>59893.525407054272</v>
      </c>
      <c r="AH38" s="189">
        <f t="shared" si="36"/>
        <v>52199.128233440002</v>
      </c>
      <c r="AI38" s="206">
        <f t="shared" si="37"/>
        <v>4329.1810136986314</v>
      </c>
      <c r="AJ38" s="206">
        <f t="shared" si="37"/>
        <v>4590</v>
      </c>
      <c r="AK38" s="189">
        <f t="shared" si="37"/>
        <v>7069.6681199586892</v>
      </c>
      <c r="AL38" s="189">
        <f t="shared" si="37"/>
        <v>6664.126334640001</v>
      </c>
      <c r="AM38" s="219">
        <f t="shared" si="32"/>
        <v>9.9957430745382533E-2</v>
      </c>
      <c r="AN38" s="214">
        <f t="shared" si="32"/>
        <v>0.12627930009904259</v>
      </c>
      <c r="AO38" s="214">
        <f t="shared" si="32"/>
        <v>0.11803726816732051</v>
      </c>
      <c r="AP38" s="214">
        <f t="shared" si="32"/>
        <v>0.12766738756320462</v>
      </c>
    </row>
    <row r="39" spans="1:42" ht="15" customHeight="1" x14ac:dyDescent="0.25">
      <c r="A39" s="15">
        <v>113</v>
      </c>
      <c r="B39" s="56" t="s">
        <v>64</v>
      </c>
      <c r="C39" s="285">
        <v>20</v>
      </c>
      <c r="D39" s="286">
        <v>73087.033750000002</v>
      </c>
      <c r="E39" s="287">
        <v>55890</v>
      </c>
      <c r="F39" s="287">
        <v>-17197.033750000002</v>
      </c>
      <c r="G39" s="133">
        <f t="shared" si="30"/>
        <v>-0.30769428788692077</v>
      </c>
      <c r="H39" s="276">
        <v>96448.136608879999</v>
      </c>
      <c r="I39" s="275">
        <v>75709.092232399998</v>
      </c>
      <c r="J39" s="287">
        <v>-20739.04437648</v>
      </c>
      <c r="K39" s="133">
        <f t="shared" si="31"/>
        <v>-0.27393069663044572</v>
      </c>
      <c r="N39" s="164" t="s">
        <v>64</v>
      </c>
      <c r="O39" s="288">
        <v>18</v>
      </c>
      <c r="P39" s="289">
        <v>73723.75</v>
      </c>
      <c r="Q39" s="290">
        <v>52050</v>
      </c>
      <c r="R39" s="290">
        <v>-21673.75</v>
      </c>
      <c r="S39" s="181">
        <v>-0.41640249759846304</v>
      </c>
      <c r="T39" s="291">
        <v>96160.258932149998</v>
      </c>
      <c r="U39" s="277">
        <v>69955.299673999994</v>
      </c>
      <c r="V39" s="290">
        <v>-26204.959258150004</v>
      </c>
      <c r="W39" s="182">
        <v>-0.37459576873043537</v>
      </c>
      <c r="Z39" s="292" t="s">
        <v>64</v>
      </c>
      <c r="AA39" s="189">
        <f t="shared" si="33"/>
        <v>73087.033750000002</v>
      </c>
      <c r="AB39" s="189">
        <f t="shared" si="33"/>
        <v>55890</v>
      </c>
      <c r="AC39" s="189">
        <f t="shared" si="34"/>
        <v>96448.136608879999</v>
      </c>
      <c r="AD39" s="189">
        <f t="shared" si="34"/>
        <v>75709.092232399998</v>
      </c>
      <c r="AE39" s="189">
        <f t="shared" si="35"/>
        <v>73723.75</v>
      </c>
      <c r="AF39" s="189">
        <f t="shared" si="35"/>
        <v>52050</v>
      </c>
      <c r="AG39" s="189">
        <f t="shared" si="36"/>
        <v>96160.258932149998</v>
      </c>
      <c r="AH39" s="189">
        <f t="shared" si="36"/>
        <v>69955.299673999994</v>
      </c>
      <c r="AI39" s="206">
        <f t="shared" si="37"/>
        <v>-636.71624999999767</v>
      </c>
      <c r="AJ39" s="206">
        <f t="shared" si="37"/>
        <v>3840</v>
      </c>
      <c r="AK39" s="189">
        <f t="shared" si="37"/>
        <v>287.87767673000053</v>
      </c>
      <c r="AL39" s="189">
        <f t="shared" si="37"/>
        <v>5753.7925584000041</v>
      </c>
      <c r="AM39" s="219">
        <f t="shared" si="32"/>
        <v>-8.6365146916698842E-3</v>
      </c>
      <c r="AN39" s="214">
        <f t="shared" si="32"/>
        <v>7.3775216138328534E-2</v>
      </c>
      <c r="AO39" s="214">
        <f t="shared" si="32"/>
        <v>2.9937281775949147E-3</v>
      </c>
      <c r="AP39" s="214">
        <f t="shared" si="32"/>
        <v>8.2249559150105289E-2</v>
      </c>
    </row>
    <row r="40" spans="1:42" ht="15" customHeight="1" x14ac:dyDescent="0.25">
      <c r="A40" s="15">
        <v>114</v>
      </c>
      <c r="B40" s="56" t="s">
        <v>65</v>
      </c>
      <c r="C40" s="285">
        <v>8</v>
      </c>
      <c r="D40" s="286">
        <v>85862.362920524232</v>
      </c>
      <c r="E40" s="287">
        <v>73380</v>
      </c>
      <c r="F40" s="287">
        <v>-12482.362920524232</v>
      </c>
      <c r="G40" s="133">
        <f t="shared" si="30"/>
        <v>-0.17010579068580312</v>
      </c>
      <c r="H40" s="276">
        <v>105378.40566454393</v>
      </c>
      <c r="I40" s="275">
        <v>95414.395920800001</v>
      </c>
      <c r="J40" s="287">
        <v>-9964.0097437439254</v>
      </c>
      <c r="K40" s="133">
        <f t="shared" si="31"/>
        <v>-0.10442878820943001</v>
      </c>
      <c r="N40" s="164" t="s">
        <v>65</v>
      </c>
      <c r="O40" s="288">
        <v>7</v>
      </c>
      <c r="P40" s="289">
        <v>83506.55</v>
      </c>
      <c r="Q40" s="290">
        <v>68334</v>
      </c>
      <c r="R40" s="290">
        <v>-15172.550000000003</v>
      </c>
      <c r="S40" s="181">
        <v>-0.22203515087657685</v>
      </c>
      <c r="T40" s="291">
        <v>98422.55</v>
      </c>
      <c r="U40" s="277">
        <v>88369.60968152</v>
      </c>
      <c r="V40" s="290">
        <v>-10052.940318480003</v>
      </c>
      <c r="W40" s="182">
        <v>-0.1137601530063371</v>
      </c>
      <c r="Z40" s="292" t="s">
        <v>65</v>
      </c>
      <c r="AA40" s="189">
        <f t="shared" si="33"/>
        <v>85862.362920524232</v>
      </c>
      <c r="AB40" s="189">
        <f t="shared" si="33"/>
        <v>73380</v>
      </c>
      <c r="AC40" s="189">
        <f t="shared" si="34"/>
        <v>105378.40566454393</v>
      </c>
      <c r="AD40" s="189">
        <f t="shared" si="34"/>
        <v>95414.395920800001</v>
      </c>
      <c r="AE40" s="189">
        <f t="shared" si="35"/>
        <v>83506.55</v>
      </c>
      <c r="AF40" s="189">
        <f t="shared" si="35"/>
        <v>68334</v>
      </c>
      <c r="AG40" s="189">
        <f t="shared" si="36"/>
        <v>98422.55</v>
      </c>
      <c r="AH40" s="189">
        <f t="shared" si="36"/>
        <v>88369.60968152</v>
      </c>
      <c r="AI40" s="206">
        <f t="shared" si="37"/>
        <v>2355.8129205242294</v>
      </c>
      <c r="AJ40" s="206">
        <f t="shared" si="37"/>
        <v>5046</v>
      </c>
      <c r="AK40" s="189">
        <f t="shared" si="37"/>
        <v>6955.8556645439239</v>
      </c>
      <c r="AL40" s="189">
        <f t="shared" si="37"/>
        <v>7044.7862392800016</v>
      </c>
      <c r="AM40" s="219">
        <f t="shared" si="32"/>
        <v>2.8211115421775051E-2</v>
      </c>
      <c r="AN40" s="214">
        <f t="shared" si="32"/>
        <v>7.3843182017736417E-2</v>
      </c>
      <c r="AO40" s="214">
        <f t="shared" si="32"/>
        <v>7.0673394100680423E-2</v>
      </c>
      <c r="AP40" s="214">
        <f t="shared" si="32"/>
        <v>7.9719558167893764E-2</v>
      </c>
    </row>
    <row r="41" spans="1:42" ht="15" customHeight="1" x14ac:dyDescent="0.25">
      <c r="A41" s="103"/>
      <c r="B41" s="62" t="s">
        <v>680</v>
      </c>
      <c r="C41" s="63"/>
      <c r="D41" s="124">
        <v>68699.923372123172</v>
      </c>
      <c r="E41" s="124">
        <v>52094.400000000001</v>
      </c>
      <c r="F41" s="124">
        <v>-16605.523372123171</v>
      </c>
      <c r="G41" s="125">
        <f t="shared" si="30"/>
        <v>-0.31875831897714862</v>
      </c>
      <c r="H41" s="126">
        <v>89578.147726520983</v>
      </c>
      <c r="I41" s="127">
        <v>71432.737133503993</v>
      </c>
      <c r="J41" s="124">
        <v>-18145.41059301699</v>
      </c>
      <c r="K41" s="125">
        <f t="shared" si="31"/>
        <v>-0.25402093383463914</v>
      </c>
      <c r="N41" s="183" t="s">
        <v>680</v>
      </c>
      <c r="O41" s="184"/>
      <c r="P41" s="185">
        <v>63990.766587954378</v>
      </c>
      <c r="Q41" s="185">
        <v>48201.2</v>
      </c>
      <c r="R41" s="185">
        <v>-15789.566587954381</v>
      </c>
      <c r="S41" s="186">
        <v>-0.32757621362029127</v>
      </c>
      <c r="T41" s="201">
        <v>82770.768476514102</v>
      </c>
      <c r="U41" s="187">
        <v>65602.990882736005</v>
      </c>
      <c r="V41" s="185">
        <v>-17167.777593778097</v>
      </c>
      <c r="W41" s="188">
        <v>-0.26169199548333316</v>
      </c>
      <c r="Z41" s="209" t="s">
        <v>680</v>
      </c>
      <c r="AA41" s="204">
        <f t="shared" ref="AA41:AH41" si="38">AVERAGE(AA26:AA40)</f>
        <v>68699.923372123172</v>
      </c>
      <c r="AB41" s="204">
        <f t="shared" si="38"/>
        <v>52094.400000000001</v>
      </c>
      <c r="AC41" s="204">
        <f t="shared" si="38"/>
        <v>89578.147726520983</v>
      </c>
      <c r="AD41" s="204">
        <f t="shared" si="38"/>
        <v>71432.737133503993</v>
      </c>
      <c r="AE41" s="204">
        <f t="shared" si="38"/>
        <v>63990.766587954378</v>
      </c>
      <c r="AF41" s="204">
        <f t="shared" si="38"/>
        <v>48201.2</v>
      </c>
      <c r="AG41" s="204">
        <f t="shared" si="38"/>
        <v>82770.768476514102</v>
      </c>
      <c r="AH41" s="204">
        <f t="shared" si="38"/>
        <v>65602.990882736005</v>
      </c>
      <c r="AI41" s="210">
        <f t="shared" si="37"/>
        <v>4709.1567841687938</v>
      </c>
      <c r="AJ41" s="210">
        <f t="shared" si="37"/>
        <v>3893.2000000000044</v>
      </c>
      <c r="AK41" s="204">
        <f t="shared" si="37"/>
        <v>6807.3792500068812</v>
      </c>
      <c r="AL41" s="204">
        <f t="shared" si="37"/>
        <v>5829.7462507679884</v>
      </c>
      <c r="AM41" s="220">
        <f t="shared" ref="AM41:AP41" si="39">AI41/AE41</f>
        <v>7.3591191905727937E-2</v>
      </c>
      <c r="AN41" s="215">
        <f t="shared" si="39"/>
        <v>8.0769773366638264E-2</v>
      </c>
      <c r="AO41" s="215">
        <f t="shared" si="39"/>
        <v>8.2243760391549944E-2</v>
      </c>
      <c r="AP41" s="215">
        <f t="shared" si="39"/>
        <v>8.8864031537655652E-2</v>
      </c>
    </row>
    <row r="42" spans="1:42" ht="15" customHeight="1" x14ac:dyDescent="0.25">
      <c r="A42" s="103"/>
      <c r="B42" s="103"/>
      <c r="C42" s="103"/>
      <c r="D42" s="103"/>
      <c r="E42" s="103"/>
      <c r="F42" s="103"/>
      <c r="G42" s="103"/>
      <c r="H42" s="103"/>
      <c r="I42" s="103"/>
      <c r="J42" s="103"/>
      <c r="K42" s="103"/>
      <c r="N42" s="103"/>
      <c r="O42" s="103"/>
      <c r="P42" s="103"/>
      <c r="Q42" s="103"/>
      <c r="R42" s="103"/>
      <c r="S42" s="103"/>
      <c r="T42" s="103"/>
      <c r="U42" s="103"/>
      <c r="V42" s="103"/>
      <c r="W42" s="103"/>
      <c r="AI42" s="158"/>
      <c r="AJ42" s="158"/>
      <c r="AK42" s="159"/>
      <c r="AL42" s="159"/>
    </row>
    <row r="43" spans="1:42" ht="23.25" x14ac:dyDescent="0.25">
      <c r="A43" s="103"/>
      <c r="B43" s="103"/>
      <c r="C43" s="103"/>
      <c r="D43" s="103"/>
      <c r="E43" s="103"/>
      <c r="F43" s="103"/>
      <c r="G43" s="103"/>
      <c r="H43" s="103"/>
      <c r="I43" s="103"/>
      <c r="J43" s="103"/>
      <c r="K43" s="103"/>
      <c r="N43" s="103"/>
      <c r="O43" s="103"/>
      <c r="P43" s="103"/>
      <c r="Q43" s="103"/>
      <c r="R43" s="103"/>
      <c r="S43" s="103"/>
      <c r="T43" s="103"/>
      <c r="U43" s="103"/>
      <c r="V43" s="103"/>
      <c r="W43" s="103"/>
      <c r="AI43" s="158"/>
      <c r="AJ43" s="158"/>
      <c r="AK43" s="159"/>
      <c r="AL43" s="159"/>
      <c r="AM43" s="159"/>
      <c r="AN43" s="159"/>
      <c r="AO43" s="159"/>
      <c r="AP43" s="159"/>
    </row>
    <row r="44" spans="1:42" ht="15" customHeight="1" x14ac:dyDescent="0.25">
      <c r="A44" s="103"/>
      <c r="B44" s="103"/>
      <c r="C44" s="103"/>
      <c r="D44" s="103"/>
      <c r="E44" s="103"/>
      <c r="F44" s="103"/>
      <c r="G44" s="103"/>
      <c r="H44" s="103"/>
      <c r="I44" s="103"/>
      <c r="J44" s="103"/>
      <c r="K44" s="103"/>
      <c r="N44" s="103"/>
      <c r="O44" s="103"/>
      <c r="P44" s="103"/>
      <c r="Q44" s="103"/>
      <c r="R44" s="103"/>
      <c r="S44" s="103"/>
      <c r="T44" s="103"/>
      <c r="U44" s="103"/>
      <c r="V44" s="103"/>
      <c r="W44" s="103"/>
      <c r="AA44" s="528"/>
      <c r="AB44" s="47"/>
      <c r="AC44" s="47"/>
      <c r="AD44" s="47"/>
      <c r="AE44" s="47"/>
      <c r="AF44" s="47"/>
      <c r="AG44" s="47"/>
      <c r="AH44" s="47"/>
      <c r="AI44" s="156" t="s">
        <v>926</v>
      </c>
      <c r="AJ44" s="158"/>
      <c r="AK44" s="159"/>
      <c r="AL44" s="159"/>
      <c r="AM44" s="156" t="s">
        <v>927</v>
      </c>
      <c r="AN44" s="157"/>
      <c r="AO44" s="157"/>
      <c r="AP44" s="157"/>
    </row>
    <row r="45" spans="1:42" ht="15" customHeight="1" x14ac:dyDescent="0.25">
      <c r="A45" s="103"/>
      <c r="B45" s="110" t="s">
        <v>50</v>
      </c>
      <c r="C45" s="302" t="s">
        <v>765</v>
      </c>
      <c r="D45" s="303"/>
      <c r="E45" s="303"/>
      <c r="F45" s="304"/>
      <c r="G45" s="303"/>
      <c r="H45" s="303" t="s">
        <v>435</v>
      </c>
      <c r="I45" s="303"/>
      <c r="J45" s="303"/>
      <c r="K45" s="305"/>
      <c r="N45" s="293"/>
      <c r="O45" s="297" t="s">
        <v>693</v>
      </c>
      <c r="P45" s="296"/>
      <c r="Q45" s="296"/>
      <c r="R45" s="296"/>
      <c r="S45" s="296"/>
      <c r="T45" s="296" t="s">
        <v>700</v>
      </c>
      <c r="U45" s="296"/>
      <c r="V45" s="296"/>
      <c r="W45" s="296"/>
      <c r="Z45" t="s">
        <v>50</v>
      </c>
      <c r="AA45" s="156" t="s">
        <v>691</v>
      </c>
      <c r="AB45" s="526"/>
      <c r="AC45" s="526"/>
      <c r="AD45" s="526"/>
      <c r="AE45" s="526"/>
      <c r="AF45" s="526"/>
      <c r="AG45" s="526"/>
      <c r="AH45" s="526"/>
      <c r="AI45" s="526" t="s">
        <v>693</v>
      </c>
      <c r="AJ45" s="526"/>
      <c r="AK45" s="526" t="s">
        <v>700</v>
      </c>
      <c r="AL45" s="526"/>
      <c r="AM45" s="526" t="s">
        <v>693</v>
      </c>
      <c r="AN45" s="526"/>
      <c r="AO45" s="526" t="s">
        <v>700</v>
      </c>
      <c r="AP45" s="526"/>
    </row>
    <row r="46" spans="1:42" ht="47.25" x14ac:dyDescent="0.25">
      <c r="A46" s="103"/>
      <c r="B46" s="111" t="s">
        <v>679</v>
      </c>
      <c r="C46" s="113" t="s">
        <v>935</v>
      </c>
      <c r="D46" s="112" t="s">
        <v>733</v>
      </c>
      <c r="E46" s="130" t="s">
        <v>934</v>
      </c>
      <c r="F46" s="130" t="s">
        <v>936</v>
      </c>
      <c r="G46" s="130" t="s">
        <v>734</v>
      </c>
      <c r="H46" s="131" t="s">
        <v>733</v>
      </c>
      <c r="I46" s="130" t="s">
        <v>934</v>
      </c>
      <c r="J46" s="130" t="s">
        <v>936</v>
      </c>
      <c r="K46" s="132" t="s">
        <v>735</v>
      </c>
      <c r="N46" s="160" t="s">
        <v>679</v>
      </c>
      <c r="O46" s="161" t="s">
        <v>697</v>
      </c>
      <c r="P46" s="161" t="s">
        <v>733</v>
      </c>
      <c r="Q46" s="162" t="s">
        <v>698</v>
      </c>
      <c r="R46" s="162" t="s">
        <v>699</v>
      </c>
      <c r="S46" s="162" t="s">
        <v>734</v>
      </c>
      <c r="T46" s="200" t="s">
        <v>733</v>
      </c>
      <c r="U46" s="162" t="s">
        <v>698</v>
      </c>
      <c r="V46" s="162" t="s">
        <v>699</v>
      </c>
      <c r="W46" s="163" t="s">
        <v>735</v>
      </c>
      <c r="Z46" s="205" t="s">
        <v>679</v>
      </c>
      <c r="AA46" s="271" t="s">
        <v>922</v>
      </c>
      <c r="AB46" s="271" t="s">
        <v>923</v>
      </c>
      <c r="AC46" s="271" t="s">
        <v>924</v>
      </c>
      <c r="AD46" s="271" t="s">
        <v>925</v>
      </c>
      <c r="AE46" s="272" t="s">
        <v>928</v>
      </c>
      <c r="AF46" s="272" t="s">
        <v>929</v>
      </c>
      <c r="AG46" s="272" t="s">
        <v>930</v>
      </c>
      <c r="AH46" s="272" t="s">
        <v>931</v>
      </c>
      <c r="AI46" s="273" t="s">
        <v>687</v>
      </c>
      <c r="AJ46" s="273" t="s">
        <v>688</v>
      </c>
      <c r="AK46" s="273" t="s">
        <v>689</v>
      </c>
      <c r="AL46" s="273" t="s">
        <v>690</v>
      </c>
      <c r="AM46" s="218" t="s">
        <v>687</v>
      </c>
      <c r="AN46" s="273" t="s">
        <v>688</v>
      </c>
      <c r="AO46" s="273" t="s">
        <v>689</v>
      </c>
      <c r="AP46" s="273" t="s">
        <v>690</v>
      </c>
    </row>
    <row r="47" spans="1:42" ht="15" customHeight="1" x14ac:dyDescent="0.25">
      <c r="A47" s="15">
        <v>200</v>
      </c>
      <c r="B47" s="56" t="s">
        <v>66</v>
      </c>
      <c r="C47" s="285">
        <v>7</v>
      </c>
      <c r="D47" s="286">
        <v>70899.754880914799</v>
      </c>
      <c r="E47" s="287">
        <v>51636</v>
      </c>
      <c r="F47" s="287">
        <v>-19263.754880914799</v>
      </c>
      <c r="G47" s="133">
        <f t="shared" ref="G47:G54" si="40">IFERROR(F47/E47,"--")</f>
        <v>-0.37306830275224262</v>
      </c>
      <c r="H47" s="276">
        <v>93369.935043291262</v>
      </c>
      <c r="I47" s="275">
        <v>70916.275657759994</v>
      </c>
      <c r="J47" s="287">
        <v>-22453.659385531268</v>
      </c>
      <c r="K47" s="133">
        <f t="shared" ref="K47:K56" si="41">IFERROR(J47/I47,"--")</f>
        <v>-0.31662208960171589</v>
      </c>
      <c r="N47" s="164" t="s">
        <v>66</v>
      </c>
      <c r="O47" s="288">
        <v>6</v>
      </c>
      <c r="P47" s="289">
        <v>63588.294336118852</v>
      </c>
      <c r="Q47" s="290">
        <v>48084</v>
      </c>
      <c r="R47" s="290">
        <v>-15504.294336118852</v>
      </c>
      <c r="S47" s="181">
        <v>-0.32244185874966419</v>
      </c>
      <c r="T47" s="291">
        <v>82478.395024170939</v>
      </c>
      <c r="U47" s="277">
        <v>65470.458511520003</v>
      </c>
      <c r="V47" s="290">
        <v>-17007.936512650936</v>
      </c>
      <c r="W47" s="182">
        <v>-0.25978031770860849</v>
      </c>
      <c r="Z47" s="292" t="s">
        <v>66</v>
      </c>
      <c r="AA47" s="189">
        <f>IF($D47="-","-",IF($P47="-","-",D47))</f>
        <v>70899.754880914799</v>
      </c>
      <c r="AB47" s="189">
        <f>IF($D47="-","-",IF($P47="-","-",E47))</f>
        <v>51636</v>
      </c>
      <c r="AC47" s="189">
        <f>IF($D47="-","-",IF($P47="-","-",H47))</f>
        <v>93369.935043291262</v>
      </c>
      <c r="AD47" s="189">
        <f>IF($D47="-","-",IF($P47="-","-",I47))</f>
        <v>70916.275657759994</v>
      </c>
      <c r="AE47" s="189">
        <f>IF($D47="-","-",IF($P47="-","-",P47))</f>
        <v>63588.294336118852</v>
      </c>
      <c r="AF47" s="189">
        <f>IF($D47="-","-",IF($P47="-","-",Q47))</f>
        <v>48084</v>
      </c>
      <c r="AG47" s="189">
        <f>IF($D47="-","-",IF($P47="-","-",T47))</f>
        <v>82478.395024170939</v>
      </c>
      <c r="AH47" s="189">
        <f>IF($D47="-","-",IF($P47="-","-",U47))</f>
        <v>65470.458511520003</v>
      </c>
      <c r="AI47" s="206">
        <f>IFERROR(AA47-AE47,"-")</f>
        <v>7311.4605447959475</v>
      </c>
      <c r="AJ47" s="206">
        <f>IFERROR(AB47-AF47,"-")</f>
        <v>3552</v>
      </c>
      <c r="AK47" s="189">
        <f>IFERROR(AC47-AG47,"-")</f>
        <v>10891.540019120323</v>
      </c>
      <c r="AL47" s="189">
        <f>IFERROR(AD47-AH47,"-")</f>
        <v>5445.8171462399914</v>
      </c>
      <c r="AM47" s="219">
        <f t="shared" ref="AM47:AP55" si="42">IFERROR(AI47/AE47,"-")</f>
        <v>0.11498123390680347</v>
      </c>
      <c r="AN47" s="214">
        <f t="shared" si="42"/>
        <v>7.3870726229099071E-2</v>
      </c>
      <c r="AO47" s="214">
        <f t="shared" si="42"/>
        <v>0.13205324880447142</v>
      </c>
      <c r="AP47" s="214">
        <f t="shared" si="42"/>
        <v>8.3179761835359078E-2</v>
      </c>
    </row>
    <row r="48" spans="1:42" ht="15" customHeight="1" x14ac:dyDescent="0.25">
      <c r="A48" s="15">
        <v>201</v>
      </c>
      <c r="B48" s="56" t="s">
        <v>67</v>
      </c>
      <c r="C48" s="285">
        <v>9</v>
      </c>
      <c r="D48" s="286">
        <v>65027.421953421195</v>
      </c>
      <c r="E48" s="287">
        <v>40938</v>
      </c>
      <c r="F48" s="287">
        <v>-24089.421953421195</v>
      </c>
      <c r="G48" s="133">
        <f t="shared" si="40"/>
        <v>-0.5884367080321754</v>
      </c>
      <c r="H48" s="276">
        <v>90237.000730971617</v>
      </c>
      <c r="I48" s="275">
        <v>58863.254568080003</v>
      </c>
      <c r="J48" s="287">
        <v>-31373.746162891613</v>
      </c>
      <c r="K48" s="133">
        <f t="shared" si="41"/>
        <v>-0.53299373935577077</v>
      </c>
      <c r="N48" s="164" t="s">
        <v>67</v>
      </c>
      <c r="O48" s="288">
        <v>10</v>
      </c>
      <c r="P48" s="289">
        <v>64321.550779613644</v>
      </c>
      <c r="Q48" s="290">
        <v>38124</v>
      </c>
      <c r="R48" s="290">
        <v>-26197.550779613644</v>
      </c>
      <c r="S48" s="181">
        <v>-0.68716689695765509</v>
      </c>
      <c r="T48" s="291">
        <v>89482.209743567975</v>
      </c>
      <c r="U48" s="277">
        <v>54207.46860272</v>
      </c>
      <c r="V48" s="290">
        <v>-35274.741140847975</v>
      </c>
      <c r="W48" s="182">
        <v>-0.65073581279679926</v>
      </c>
      <c r="Z48" s="292" t="s">
        <v>67</v>
      </c>
      <c r="AA48" s="189">
        <f t="shared" ref="AA48:AB55" si="43">IF($D48="-","-",IF($P48="-","-",D48))</f>
        <v>65027.421953421195</v>
      </c>
      <c r="AB48" s="189">
        <f t="shared" si="43"/>
        <v>40938</v>
      </c>
      <c r="AC48" s="189">
        <f t="shared" ref="AC48:AD55" si="44">IF($D48="-","-",IF($P48="-","-",H48))</f>
        <v>90237.000730971617</v>
      </c>
      <c r="AD48" s="189">
        <f t="shared" si="44"/>
        <v>58863.254568080003</v>
      </c>
      <c r="AE48" s="189">
        <f t="shared" ref="AE48:AF55" si="45">IF($D48="-","-",IF($P48="-","-",P48))</f>
        <v>64321.550779613644</v>
      </c>
      <c r="AF48" s="189">
        <f t="shared" si="45"/>
        <v>38124</v>
      </c>
      <c r="AG48" s="189">
        <f t="shared" ref="AG48:AH55" si="46">IF($D48="-","-",IF($P48="-","-",T48))</f>
        <v>89482.209743567975</v>
      </c>
      <c r="AH48" s="189">
        <f t="shared" si="46"/>
        <v>54207.46860272</v>
      </c>
      <c r="AI48" s="206">
        <f t="shared" ref="AI48:AL56" si="47">IFERROR(AA48-AE48,"-")</f>
        <v>705.8711738075508</v>
      </c>
      <c r="AJ48" s="206">
        <f t="shared" si="47"/>
        <v>2814</v>
      </c>
      <c r="AK48" s="189">
        <f t="shared" si="47"/>
        <v>754.79098740364134</v>
      </c>
      <c r="AL48" s="189">
        <f t="shared" si="47"/>
        <v>4655.7859653600026</v>
      </c>
      <c r="AM48" s="219">
        <f t="shared" si="42"/>
        <v>1.0974100674688222E-2</v>
      </c>
      <c r="AN48" s="214">
        <f t="shared" si="42"/>
        <v>7.3811772112055404E-2</v>
      </c>
      <c r="AO48" s="214">
        <f t="shared" si="42"/>
        <v>8.4350955297893288E-3</v>
      </c>
      <c r="AP48" s="214">
        <f t="shared" si="42"/>
        <v>8.588827490694495E-2</v>
      </c>
    </row>
    <row r="49" spans="1:55" ht="15" customHeight="1" x14ac:dyDescent="0.25">
      <c r="A49" s="15">
        <v>202</v>
      </c>
      <c r="B49" s="56" t="s">
        <v>68</v>
      </c>
      <c r="C49" s="285">
        <v>10</v>
      </c>
      <c r="D49" s="286">
        <v>48093.908161073021</v>
      </c>
      <c r="E49" s="287">
        <v>37392</v>
      </c>
      <c r="F49" s="287">
        <v>-10701.908161073021</v>
      </c>
      <c r="G49" s="133">
        <f t="shared" si="40"/>
        <v>-0.28620849810315097</v>
      </c>
      <c r="H49" s="276">
        <v>66036.627344654713</v>
      </c>
      <c r="I49" s="275">
        <v>54868.114094720004</v>
      </c>
      <c r="J49" s="287">
        <v>-11168.513249934709</v>
      </c>
      <c r="K49" s="133">
        <f t="shared" si="41"/>
        <v>-0.20355197976468201</v>
      </c>
      <c r="N49" s="164" t="s">
        <v>68</v>
      </c>
      <c r="O49" s="288">
        <v>11</v>
      </c>
      <c r="P49" s="289">
        <v>40793.542945205481</v>
      </c>
      <c r="Q49" s="290">
        <v>34818</v>
      </c>
      <c r="R49" s="290">
        <v>-5975.5429452054814</v>
      </c>
      <c r="S49" s="181">
        <v>-0.17162223405151017</v>
      </c>
      <c r="T49" s="291">
        <v>56285.317385798939</v>
      </c>
      <c r="U49" s="277">
        <v>50468.970145040003</v>
      </c>
      <c r="V49" s="290">
        <v>-5816.3472407589361</v>
      </c>
      <c r="W49" s="182">
        <v>-0.11524600609133999</v>
      </c>
      <c r="Z49" s="292" t="s">
        <v>68</v>
      </c>
      <c r="AA49" s="189">
        <f t="shared" si="43"/>
        <v>48093.908161073021</v>
      </c>
      <c r="AB49" s="189">
        <f t="shared" si="43"/>
        <v>37392</v>
      </c>
      <c r="AC49" s="189">
        <f t="shared" si="44"/>
        <v>66036.627344654713</v>
      </c>
      <c r="AD49" s="189">
        <f t="shared" si="44"/>
        <v>54868.114094720004</v>
      </c>
      <c r="AE49" s="189">
        <f t="shared" si="45"/>
        <v>40793.542945205481</v>
      </c>
      <c r="AF49" s="189">
        <f t="shared" si="45"/>
        <v>34818</v>
      </c>
      <c r="AG49" s="189">
        <f t="shared" si="46"/>
        <v>56285.317385798939</v>
      </c>
      <c r="AH49" s="189">
        <f t="shared" si="46"/>
        <v>50468.970145040003</v>
      </c>
      <c r="AI49" s="206">
        <f t="shared" si="47"/>
        <v>7300.3652158675395</v>
      </c>
      <c r="AJ49" s="206">
        <f t="shared" si="47"/>
        <v>2574</v>
      </c>
      <c r="AK49" s="189">
        <f t="shared" si="47"/>
        <v>9751.3099588557743</v>
      </c>
      <c r="AL49" s="189">
        <f t="shared" si="47"/>
        <v>4399.1439496800012</v>
      </c>
      <c r="AM49" s="219">
        <f t="shared" si="42"/>
        <v>0.17895884222837677</v>
      </c>
      <c r="AN49" s="214">
        <f t="shared" si="42"/>
        <v>7.3927278993623988E-2</v>
      </c>
      <c r="AO49" s="214">
        <f t="shared" si="42"/>
        <v>0.17324784529537143</v>
      </c>
      <c r="AP49" s="214">
        <f t="shared" si="42"/>
        <v>8.7165320335198901E-2</v>
      </c>
    </row>
    <row r="50" spans="1:55" ht="15" customHeight="1" x14ac:dyDescent="0.25">
      <c r="A50" s="15">
        <v>203</v>
      </c>
      <c r="B50" s="56" t="s">
        <v>69</v>
      </c>
      <c r="C50" s="285">
        <v>8</v>
      </c>
      <c r="D50" s="286">
        <v>80503.029767103362</v>
      </c>
      <c r="E50" s="287">
        <v>82992</v>
      </c>
      <c r="F50" s="287">
        <v>2488.9702328966378</v>
      </c>
      <c r="G50" s="133">
        <f t="shared" si="40"/>
        <v>2.9990483816471923E-2</v>
      </c>
      <c r="H50" s="276">
        <v>102296.75968358296</v>
      </c>
      <c r="I50" s="275">
        <v>106243.86299071999</v>
      </c>
      <c r="J50" s="287">
        <v>3947.103307137033</v>
      </c>
      <c r="K50" s="133">
        <f t="shared" si="41"/>
        <v>3.7151353462004648E-2</v>
      </c>
      <c r="N50" s="164" t="s">
        <v>69</v>
      </c>
      <c r="O50" s="288">
        <v>9</v>
      </c>
      <c r="P50" s="289">
        <v>76414.88910914064</v>
      </c>
      <c r="Q50" s="290">
        <v>77286</v>
      </c>
      <c r="R50" s="290">
        <v>871.11089085935964</v>
      </c>
      <c r="S50" s="181">
        <v>1.1271263758757855E-2</v>
      </c>
      <c r="T50" s="291">
        <v>97001.356505620643</v>
      </c>
      <c r="U50" s="277">
        <v>98492.730732080003</v>
      </c>
      <c r="V50" s="290">
        <v>1491.3742264593602</v>
      </c>
      <c r="W50" s="182">
        <v>1.5141972563601648E-2</v>
      </c>
      <c r="Z50" s="292" t="s">
        <v>69</v>
      </c>
      <c r="AA50" s="189">
        <f t="shared" si="43"/>
        <v>80503.029767103362</v>
      </c>
      <c r="AB50" s="189">
        <f t="shared" si="43"/>
        <v>82992</v>
      </c>
      <c r="AC50" s="189">
        <f t="shared" si="44"/>
        <v>102296.75968358296</v>
      </c>
      <c r="AD50" s="189">
        <f t="shared" si="44"/>
        <v>106243.86299071999</v>
      </c>
      <c r="AE50" s="189">
        <f t="shared" si="45"/>
        <v>76414.88910914064</v>
      </c>
      <c r="AF50" s="189">
        <f t="shared" si="45"/>
        <v>77286</v>
      </c>
      <c r="AG50" s="189">
        <f t="shared" si="46"/>
        <v>97001.356505620643</v>
      </c>
      <c r="AH50" s="189">
        <f t="shared" si="46"/>
        <v>98492.730732080003</v>
      </c>
      <c r="AI50" s="206">
        <f t="shared" si="47"/>
        <v>4088.1406579627219</v>
      </c>
      <c r="AJ50" s="206">
        <f t="shared" si="47"/>
        <v>5706</v>
      </c>
      <c r="AK50" s="189">
        <f t="shared" si="47"/>
        <v>5295.4031779623183</v>
      </c>
      <c r="AL50" s="189">
        <f t="shared" si="47"/>
        <v>7751.1322586399911</v>
      </c>
      <c r="AM50" s="219">
        <f t="shared" si="42"/>
        <v>5.349926834446854E-2</v>
      </c>
      <c r="AN50" s="214">
        <f t="shared" si="42"/>
        <v>7.38296716093471E-2</v>
      </c>
      <c r="AO50" s="214">
        <f t="shared" si="42"/>
        <v>5.459102190653882E-2</v>
      </c>
      <c r="AP50" s="214">
        <f t="shared" si="42"/>
        <v>7.869750590756415E-2</v>
      </c>
    </row>
    <row r="51" spans="1:55" ht="15" customHeight="1" x14ac:dyDescent="0.25">
      <c r="A51" s="15">
        <v>204</v>
      </c>
      <c r="B51" s="56" t="s">
        <v>70</v>
      </c>
      <c r="C51" s="285">
        <v>12</v>
      </c>
      <c r="D51" s="286">
        <v>62374.067849014798</v>
      </c>
      <c r="E51" s="287">
        <v>49560</v>
      </c>
      <c r="F51" s="287">
        <v>-12814.067849014798</v>
      </c>
      <c r="G51" s="133">
        <f t="shared" si="40"/>
        <v>-0.25855665554912832</v>
      </c>
      <c r="H51" s="276">
        <v>83348.683195603197</v>
      </c>
      <c r="I51" s="275">
        <v>68577.327089600003</v>
      </c>
      <c r="J51" s="287">
        <v>-14771.356106003193</v>
      </c>
      <c r="K51" s="133">
        <f t="shared" si="41"/>
        <v>-0.2153970814100645</v>
      </c>
      <c r="N51" s="164" t="s">
        <v>70</v>
      </c>
      <c r="O51" s="288">
        <v>10</v>
      </c>
      <c r="P51" s="289">
        <v>44011.603772750779</v>
      </c>
      <c r="Q51" s="290">
        <v>46152</v>
      </c>
      <c r="R51" s="290">
        <v>2140.3962272492208</v>
      </c>
      <c r="S51" s="181">
        <v>4.6377106674666768E-2</v>
      </c>
      <c r="T51" s="291">
        <v>65195.223887160202</v>
      </c>
      <c r="U51" s="277">
        <v>63285.709866559999</v>
      </c>
      <c r="V51" s="290">
        <v>-1909.5140206002034</v>
      </c>
      <c r="W51" s="182">
        <v>-3.0172909881653796E-2</v>
      </c>
      <c r="Z51" s="292" t="s">
        <v>70</v>
      </c>
      <c r="AA51" s="189">
        <f t="shared" si="43"/>
        <v>62374.067849014798</v>
      </c>
      <c r="AB51" s="189">
        <f t="shared" si="43"/>
        <v>49560</v>
      </c>
      <c r="AC51" s="189">
        <f t="shared" si="44"/>
        <v>83348.683195603197</v>
      </c>
      <c r="AD51" s="189">
        <f t="shared" si="44"/>
        <v>68577.327089600003</v>
      </c>
      <c r="AE51" s="189">
        <f t="shared" si="45"/>
        <v>44011.603772750779</v>
      </c>
      <c r="AF51" s="189">
        <f t="shared" si="45"/>
        <v>46152</v>
      </c>
      <c r="AG51" s="189">
        <f t="shared" si="46"/>
        <v>65195.223887160202</v>
      </c>
      <c r="AH51" s="189">
        <f t="shared" si="46"/>
        <v>63285.709866559999</v>
      </c>
      <c r="AI51" s="206">
        <f t="shared" si="47"/>
        <v>18362.464076264019</v>
      </c>
      <c r="AJ51" s="206">
        <f t="shared" si="47"/>
        <v>3408</v>
      </c>
      <c r="AK51" s="189">
        <f t="shared" si="47"/>
        <v>18153.459308442994</v>
      </c>
      <c r="AL51" s="189">
        <f t="shared" si="47"/>
        <v>5291.6172230400043</v>
      </c>
      <c r="AM51" s="219">
        <f t="shared" si="42"/>
        <v>0.41721869921115901</v>
      </c>
      <c r="AN51" s="214">
        <f t="shared" si="42"/>
        <v>7.3842953718148724E-2</v>
      </c>
      <c r="AO51" s="214">
        <f t="shared" si="42"/>
        <v>0.27844768720885099</v>
      </c>
      <c r="AP51" s="214">
        <f t="shared" si="42"/>
        <v>8.3614724938656029E-2</v>
      </c>
    </row>
    <row r="52" spans="1:55" ht="15" customHeight="1" x14ac:dyDescent="0.25">
      <c r="A52" s="15">
        <v>205</v>
      </c>
      <c r="B52" s="56" t="s">
        <v>71</v>
      </c>
      <c r="C52" s="285">
        <v>19</v>
      </c>
      <c r="D52" s="286">
        <v>49449.54</v>
      </c>
      <c r="E52" s="287">
        <v>40938</v>
      </c>
      <c r="F52" s="287">
        <v>-8511.5400000000009</v>
      </c>
      <c r="G52" s="133">
        <f t="shared" si="40"/>
        <v>-0.20791294152132495</v>
      </c>
      <c r="H52" s="276">
        <v>69513.597223363831</v>
      </c>
      <c r="I52" s="275">
        <v>58863.254568080003</v>
      </c>
      <c r="J52" s="287">
        <v>-10650.342655283828</v>
      </c>
      <c r="K52" s="133">
        <f t="shared" si="41"/>
        <v>-0.1809336356515229</v>
      </c>
      <c r="N52" s="164" t="s">
        <v>71</v>
      </c>
      <c r="O52" s="288">
        <v>16</v>
      </c>
      <c r="P52" s="289">
        <v>46093.917025862072</v>
      </c>
      <c r="Q52" s="290">
        <v>36348</v>
      </c>
      <c r="R52" s="290">
        <v>-9745.9170258620725</v>
      </c>
      <c r="S52" s="181">
        <v>-0.26812801325690744</v>
      </c>
      <c r="T52" s="291">
        <v>64582.012800564073</v>
      </c>
      <c r="U52" s="277">
        <v>52199.128233440002</v>
      </c>
      <c r="V52" s="290">
        <v>-12382.884567124071</v>
      </c>
      <c r="W52" s="182">
        <v>-0.23722397262549111</v>
      </c>
      <c r="Z52" s="292" t="s">
        <v>71</v>
      </c>
      <c r="AA52" s="189">
        <f t="shared" si="43"/>
        <v>49449.54</v>
      </c>
      <c r="AB52" s="189">
        <f t="shared" si="43"/>
        <v>40938</v>
      </c>
      <c r="AC52" s="189">
        <f t="shared" si="44"/>
        <v>69513.597223363831</v>
      </c>
      <c r="AD52" s="189">
        <f t="shared" si="44"/>
        <v>58863.254568080003</v>
      </c>
      <c r="AE52" s="189">
        <f t="shared" si="45"/>
        <v>46093.917025862072</v>
      </c>
      <c r="AF52" s="189">
        <f t="shared" si="45"/>
        <v>36348</v>
      </c>
      <c r="AG52" s="189">
        <f t="shared" si="46"/>
        <v>64582.012800564073</v>
      </c>
      <c r="AH52" s="189">
        <f t="shared" si="46"/>
        <v>52199.128233440002</v>
      </c>
      <c r="AI52" s="206">
        <f t="shared" si="47"/>
        <v>3355.6229741379284</v>
      </c>
      <c r="AJ52" s="206">
        <f t="shared" si="47"/>
        <v>4590</v>
      </c>
      <c r="AK52" s="189">
        <f t="shared" si="47"/>
        <v>4931.5844227997586</v>
      </c>
      <c r="AL52" s="189">
        <f t="shared" si="47"/>
        <v>6664.126334640001</v>
      </c>
      <c r="AM52" s="219">
        <f t="shared" si="42"/>
        <v>7.2799692251261219E-2</v>
      </c>
      <c r="AN52" s="214">
        <f t="shared" si="42"/>
        <v>0.12627930009904259</v>
      </c>
      <c r="AO52" s="214">
        <f t="shared" si="42"/>
        <v>7.636157823121742E-2</v>
      </c>
      <c r="AP52" s="214">
        <f t="shared" si="42"/>
        <v>0.12766738756320462</v>
      </c>
    </row>
    <row r="53" spans="1:55" s="14" customFormat="1" ht="15" customHeight="1" x14ac:dyDescent="0.25">
      <c r="A53" s="15">
        <v>206</v>
      </c>
      <c r="B53" s="56" t="s">
        <v>72</v>
      </c>
      <c r="C53" s="285">
        <v>5</v>
      </c>
      <c r="D53" s="286">
        <v>48750.582969432318</v>
      </c>
      <c r="E53" s="287">
        <v>49560</v>
      </c>
      <c r="F53" s="287">
        <v>809.41703056768165</v>
      </c>
      <c r="G53" s="133">
        <f t="shared" si="40"/>
        <v>1.6332062763673962E-2</v>
      </c>
      <c r="H53" s="276">
        <v>68889.206747028045</v>
      </c>
      <c r="I53" s="275">
        <v>68577.327089600003</v>
      </c>
      <c r="J53" s="287">
        <v>-311.87965742804226</v>
      </c>
      <c r="K53" s="133">
        <f t="shared" si="41"/>
        <v>-4.5478537975175756E-3</v>
      </c>
      <c r="L53"/>
      <c r="N53" s="164" t="s">
        <v>72</v>
      </c>
      <c r="O53" s="288">
        <v>5</v>
      </c>
      <c r="P53" s="289">
        <v>44186.969072164953</v>
      </c>
      <c r="Q53" s="290">
        <v>46152</v>
      </c>
      <c r="R53" s="290">
        <v>1965.0309278350469</v>
      </c>
      <c r="S53" s="181">
        <v>4.2577373198020602E-2</v>
      </c>
      <c r="T53" s="291">
        <v>63970.121727985752</v>
      </c>
      <c r="U53" s="277">
        <v>63285.709866559999</v>
      </c>
      <c r="V53" s="290">
        <v>-684.41186142575316</v>
      </c>
      <c r="W53" s="182">
        <v>-1.0814635134359053E-2</v>
      </c>
      <c r="Z53" s="292" t="s">
        <v>72</v>
      </c>
      <c r="AA53" s="189">
        <f t="shared" si="43"/>
        <v>48750.582969432318</v>
      </c>
      <c r="AB53" s="189">
        <f t="shared" si="43"/>
        <v>49560</v>
      </c>
      <c r="AC53" s="189">
        <f t="shared" si="44"/>
        <v>68889.206747028045</v>
      </c>
      <c r="AD53" s="189">
        <f t="shared" si="44"/>
        <v>68577.327089600003</v>
      </c>
      <c r="AE53" s="189">
        <f t="shared" si="45"/>
        <v>44186.969072164953</v>
      </c>
      <c r="AF53" s="189">
        <f t="shared" si="45"/>
        <v>46152</v>
      </c>
      <c r="AG53" s="189">
        <f t="shared" si="46"/>
        <v>63970.121727985752</v>
      </c>
      <c r="AH53" s="189">
        <f t="shared" si="46"/>
        <v>63285.709866559999</v>
      </c>
      <c r="AI53" s="206">
        <f t="shared" si="47"/>
        <v>4563.6138972673652</v>
      </c>
      <c r="AJ53" s="206">
        <f t="shared" si="47"/>
        <v>3408</v>
      </c>
      <c r="AK53" s="189">
        <f t="shared" si="47"/>
        <v>4919.0850190422934</v>
      </c>
      <c r="AL53" s="189">
        <f t="shared" si="47"/>
        <v>5291.6172230400043</v>
      </c>
      <c r="AM53" s="219">
        <f t="shared" si="42"/>
        <v>0.10327963182571304</v>
      </c>
      <c r="AN53" s="214">
        <f t="shared" si="42"/>
        <v>7.3842953718148724E-2</v>
      </c>
      <c r="AO53" s="214">
        <f t="shared" si="42"/>
        <v>7.6896602447612414E-2</v>
      </c>
      <c r="AP53" s="214">
        <f t="shared" si="42"/>
        <v>8.3614724938656029E-2</v>
      </c>
      <c r="AQ53"/>
      <c r="AR53"/>
      <c r="AS53"/>
      <c r="AT53"/>
      <c r="AU53"/>
      <c r="AV53"/>
      <c r="AW53"/>
      <c r="AX53"/>
      <c r="AY53"/>
      <c r="AZ53"/>
      <c r="BA53"/>
      <c r="BB53"/>
      <c r="BC53"/>
    </row>
    <row r="54" spans="1:55" ht="15" customHeight="1" x14ac:dyDescent="0.25">
      <c r="A54" s="15">
        <v>207</v>
      </c>
      <c r="B54" s="56" t="s">
        <v>73</v>
      </c>
      <c r="C54" s="285">
        <v>7</v>
      </c>
      <c r="D54" s="286">
        <v>70667.796078431376</v>
      </c>
      <c r="E54" s="287">
        <v>52008</v>
      </c>
      <c r="F54" s="287">
        <v>-18659.796078431376</v>
      </c>
      <c r="G54" s="133">
        <f t="shared" si="40"/>
        <v>-0.35878703427225384</v>
      </c>
      <c r="H54" s="276">
        <v>92588.93296440586</v>
      </c>
      <c r="I54" s="275">
        <v>71335.39360928</v>
      </c>
      <c r="J54" s="287">
        <v>-21253.53935512586</v>
      </c>
      <c r="K54" s="133">
        <f t="shared" si="41"/>
        <v>-0.29793820822712885</v>
      </c>
      <c r="N54" s="164" t="s">
        <v>73</v>
      </c>
      <c r="O54" s="288">
        <v>6</v>
      </c>
      <c r="P54" s="289">
        <v>66742.841707935746</v>
      </c>
      <c r="Q54" s="290">
        <v>48438</v>
      </c>
      <c r="R54" s="290">
        <v>-18304.841707935746</v>
      </c>
      <c r="S54" s="181">
        <v>-0.3779025085250371</v>
      </c>
      <c r="T54" s="291">
        <v>88853.013181664588</v>
      </c>
      <c r="U54" s="277">
        <v>65870.769598640007</v>
      </c>
      <c r="V54" s="290">
        <v>-22982.243583024581</v>
      </c>
      <c r="W54" s="182">
        <v>-0.34889896873922482</v>
      </c>
      <c r="Z54" s="292" t="s">
        <v>73</v>
      </c>
      <c r="AA54" s="189">
        <f t="shared" si="43"/>
        <v>70667.796078431376</v>
      </c>
      <c r="AB54" s="189">
        <f t="shared" si="43"/>
        <v>52008</v>
      </c>
      <c r="AC54" s="189">
        <f t="shared" si="44"/>
        <v>92588.93296440586</v>
      </c>
      <c r="AD54" s="189">
        <f t="shared" si="44"/>
        <v>71335.39360928</v>
      </c>
      <c r="AE54" s="189">
        <f t="shared" si="45"/>
        <v>66742.841707935746</v>
      </c>
      <c r="AF54" s="189">
        <f t="shared" si="45"/>
        <v>48438</v>
      </c>
      <c r="AG54" s="189">
        <f t="shared" si="46"/>
        <v>88853.013181664588</v>
      </c>
      <c r="AH54" s="189">
        <f t="shared" si="46"/>
        <v>65870.769598640007</v>
      </c>
      <c r="AI54" s="206">
        <f t="shared" si="47"/>
        <v>3924.9543704956304</v>
      </c>
      <c r="AJ54" s="206">
        <f t="shared" si="47"/>
        <v>3570</v>
      </c>
      <c r="AK54" s="189">
        <f t="shared" si="47"/>
        <v>3735.9197827412718</v>
      </c>
      <c r="AL54" s="189">
        <f t="shared" si="47"/>
        <v>5464.6240106399928</v>
      </c>
      <c r="AM54" s="219">
        <f t="shared" si="42"/>
        <v>5.8807121034358839E-2</v>
      </c>
      <c r="AN54" s="214">
        <f t="shared" si="42"/>
        <v>7.3702465006812837E-2</v>
      </c>
      <c r="AO54" s="214">
        <f t="shared" si="42"/>
        <v>4.2046067420392262E-2</v>
      </c>
      <c r="AP54" s="214">
        <f t="shared" si="42"/>
        <v>8.2959771746052555E-2</v>
      </c>
    </row>
    <row r="55" spans="1:55" ht="15" customHeight="1" x14ac:dyDescent="0.25">
      <c r="A55" s="15">
        <v>208</v>
      </c>
      <c r="B55" s="56" t="s">
        <v>74</v>
      </c>
      <c r="C55" s="285">
        <v>1</v>
      </c>
      <c r="D55" s="286" t="s">
        <v>684</v>
      </c>
      <c r="E55" s="287" t="s">
        <v>684</v>
      </c>
      <c r="F55" s="287" t="s">
        <v>484</v>
      </c>
      <c r="G55" s="133" t="str">
        <f>IFERROR(F55/E55,"--")</f>
        <v>--</v>
      </c>
      <c r="H55" s="276" t="s">
        <v>684</v>
      </c>
      <c r="I55" s="275" t="s">
        <v>684</v>
      </c>
      <c r="J55" s="287" t="s">
        <v>484</v>
      </c>
      <c r="K55" s="133" t="str">
        <f t="shared" si="41"/>
        <v>--</v>
      </c>
      <c r="N55" s="164" t="s">
        <v>74</v>
      </c>
      <c r="O55" s="288">
        <v>1</v>
      </c>
      <c r="P55" s="289" t="s">
        <v>684</v>
      </c>
      <c r="Q55" s="290" t="s">
        <v>684</v>
      </c>
      <c r="R55" s="290" t="s">
        <v>484</v>
      </c>
      <c r="S55" s="181" t="s">
        <v>484</v>
      </c>
      <c r="T55" s="291" t="s">
        <v>684</v>
      </c>
      <c r="U55" s="277" t="s">
        <v>684</v>
      </c>
      <c r="V55" s="290" t="s">
        <v>484</v>
      </c>
      <c r="W55" s="182" t="s">
        <v>484</v>
      </c>
      <c r="Z55" s="292" t="s">
        <v>74</v>
      </c>
      <c r="AA55" s="189" t="str">
        <f t="shared" si="43"/>
        <v>-</v>
      </c>
      <c r="AB55" s="189" t="str">
        <f t="shared" si="43"/>
        <v>-</v>
      </c>
      <c r="AC55" s="189" t="str">
        <f t="shared" si="44"/>
        <v>-</v>
      </c>
      <c r="AD55" s="189" t="str">
        <f t="shared" si="44"/>
        <v>-</v>
      </c>
      <c r="AE55" s="189" t="str">
        <f t="shared" si="45"/>
        <v>-</v>
      </c>
      <c r="AF55" s="189" t="str">
        <f t="shared" si="45"/>
        <v>-</v>
      </c>
      <c r="AG55" s="189" t="str">
        <f t="shared" si="46"/>
        <v>-</v>
      </c>
      <c r="AH55" s="189" t="str">
        <f t="shared" si="46"/>
        <v>-</v>
      </c>
      <c r="AI55" s="206" t="str">
        <f t="shared" si="47"/>
        <v>-</v>
      </c>
      <c r="AJ55" s="206" t="str">
        <f t="shared" si="47"/>
        <v>-</v>
      </c>
      <c r="AK55" s="189" t="str">
        <f t="shared" si="47"/>
        <v>-</v>
      </c>
      <c r="AL55" s="189" t="str">
        <f t="shared" si="47"/>
        <v>-</v>
      </c>
      <c r="AM55" s="219" t="str">
        <f t="shared" si="42"/>
        <v>-</v>
      </c>
      <c r="AN55" s="214" t="str">
        <f t="shared" si="42"/>
        <v>-</v>
      </c>
      <c r="AO55" s="214" t="str">
        <f t="shared" si="42"/>
        <v>-</v>
      </c>
      <c r="AP55" s="214" t="str">
        <f t="shared" si="42"/>
        <v>-</v>
      </c>
    </row>
    <row r="56" spans="1:55" ht="23.25" x14ac:dyDescent="0.25">
      <c r="A56" s="103"/>
      <c r="B56" s="62" t="s">
        <v>680</v>
      </c>
      <c r="C56" s="63"/>
      <c r="D56" s="124">
        <v>61970.762707423848</v>
      </c>
      <c r="E56" s="124">
        <v>50628</v>
      </c>
      <c r="F56" s="124">
        <v>-11342.762707423848</v>
      </c>
      <c r="G56" s="125">
        <f t="shared" ref="G56" si="48">IFERROR(F56/E56,"--")</f>
        <v>-0.2240412954772823</v>
      </c>
      <c r="H56" s="126">
        <v>83285.092866612686</v>
      </c>
      <c r="I56" s="127">
        <v>69780.601208480002</v>
      </c>
      <c r="J56" s="124">
        <v>-13504.491658132683</v>
      </c>
      <c r="K56" s="125">
        <f t="shared" si="41"/>
        <v>-0.19352787772329436</v>
      </c>
      <c r="N56" s="183" t="s">
        <v>680</v>
      </c>
      <c r="O56" s="184"/>
      <c r="P56" s="185">
        <v>55769.201093599026</v>
      </c>
      <c r="Q56" s="185">
        <v>46925.25</v>
      </c>
      <c r="R56" s="185">
        <v>-8843.9510935990256</v>
      </c>
      <c r="S56" s="186">
        <v>-0.18846891798336771</v>
      </c>
      <c r="T56" s="201">
        <v>75980.956282066632</v>
      </c>
      <c r="U56" s="187">
        <v>64160.118194570008</v>
      </c>
      <c r="V56" s="185">
        <v>-11820.838087496624</v>
      </c>
      <c r="W56" s="188">
        <v>-0.18423965572583756</v>
      </c>
      <c r="Z56" s="209" t="s">
        <v>680</v>
      </c>
      <c r="AA56" s="212">
        <f t="shared" ref="AA56:AH56" si="49">AVERAGE(AA47:AA55)</f>
        <v>61970.762707423848</v>
      </c>
      <c r="AB56" s="212">
        <f t="shared" si="49"/>
        <v>50628</v>
      </c>
      <c r="AC56" s="212">
        <f t="shared" si="49"/>
        <v>83285.092866612686</v>
      </c>
      <c r="AD56" s="212">
        <f t="shared" si="49"/>
        <v>69780.601208480002</v>
      </c>
      <c r="AE56" s="212">
        <f t="shared" si="49"/>
        <v>55769.201093599026</v>
      </c>
      <c r="AF56" s="212">
        <f t="shared" si="49"/>
        <v>46925.25</v>
      </c>
      <c r="AG56" s="212">
        <f t="shared" si="49"/>
        <v>75980.956282066632</v>
      </c>
      <c r="AH56" s="212">
        <f t="shared" si="49"/>
        <v>64160.118194570008</v>
      </c>
      <c r="AI56" s="210">
        <f t="shared" si="47"/>
        <v>6201.5616138248224</v>
      </c>
      <c r="AJ56" s="210">
        <f t="shared" si="47"/>
        <v>3702.75</v>
      </c>
      <c r="AK56" s="204">
        <f t="shared" si="47"/>
        <v>7304.1365845460532</v>
      </c>
      <c r="AL56" s="204">
        <f t="shared" si="47"/>
        <v>5620.483013909994</v>
      </c>
      <c r="AM56" s="220">
        <f t="shared" ref="AM56:AP56" si="50">AI56/AE56</f>
        <v>0.11120047431586058</v>
      </c>
      <c r="AN56" s="215">
        <f t="shared" si="50"/>
        <v>7.8907411255134494E-2</v>
      </c>
      <c r="AO56" s="215">
        <f t="shared" si="50"/>
        <v>9.6131148408170386E-2</v>
      </c>
      <c r="AP56" s="215">
        <f t="shared" si="50"/>
        <v>8.7600883104134719E-2</v>
      </c>
      <c r="AQ56" s="14"/>
      <c r="AR56" s="14"/>
      <c r="AS56" s="14"/>
      <c r="AT56" s="14"/>
      <c r="AU56" s="14"/>
      <c r="AV56" s="14"/>
      <c r="AW56" s="14"/>
      <c r="AX56" s="14"/>
      <c r="AY56" s="14"/>
      <c r="AZ56" s="14"/>
      <c r="BA56" s="14"/>
      <c r="BB56" s="14"/>
      <c r="BC56" s="14"/>
    </row>
    <row r="57" spans="1:55" ht="15" customHeight="1" x14ac:dyDescent="0.25">
      <c r="A57" s="103"/>
      <c r="AI57" s="158"/>
      <c r="AJ57" s="158"/>
      <c r="AK57" s="159"/>
      <c r="AL57" s="159"/>
    </row>
    <row r="58" spans="1:55" ht="15" customHeight="1" x14ac:dyDescent="0.25">
      <c r="A58" s="103"/>
      <c r="AI58" s="158"/>
      <c r="AJ58" s="158"/>
      <c r="AK58" s="159"/>
      <c r="AL58" s="159"/>
      <c r="AM58" s="159"/>
      <c r="AN58" s="159"/>
      <c r="AO58" s="159"/>
      <c r="AP58" s="159"/>
    </row>
    <row r="59" spans="1:55" ht="15" customHeight="1" x14ac:dyDescent="0.25">
      <c r="AA59" s="528"/>
      <c r="AB59" s="47"/>
      <c r="AC59" s="47"/>
      <c r="AD59" s="47"/>
      <c r="AE59" s="47"/>
      <c r="AF59" s="47"/>
      <c r="AG59" s="47"/>
      <c r="AH59" s="47"/>
      <c r="AI59" s="156" t="s">
        <v>926</v>
      </c>
      <c r="AJ59" s="158"/>
      <c r="AK59" s="159"/>
      <c r="AL59" s="159"/>
      <c r="AM59" s="156" t="s">
        <v>927</v>
      </c>
      <c r="AN59" s="157"/>
      <c r="AO59" s="157"/>
      <c r="AP59" s="157"/>
    </row>
    <row r="60" spans="1:55" ht="15" customHeight="1" x14ac:dyDescent="0.25">
      <c r="B60" s="110" t="s">
        <v>239</v>
      </c>
      <c r="C60" s="302" t="s">
        <v>765</v>
      </c>
      <c r="D60" s="303"/>
      <c r="E60" s="303"/>
      <c r="F60" s="304"/>
      <c r="G60" s="303"/>
      <c r="H60" s="303" t="s">
        <v>435</v>
      </c>
      <c r="I60" s="303"/>
      <c r="J60" s="303"/>
      <c r="K60" s="305"/>
      <c r="N60" s="293"/>
      <c r="O60" s="297" t="s">
        <v>693</v>
      </c>
      <c r="P60" s="296"/>
      <c r="Q60" s="296"/>
      <c r="R60" s="296"/>
      <c r="S60" s="296"/>
      <c r="T60" s="296" t="s">
        <v>700</v>
      </c>
      <c r="U60" s="296"/>
      <c r="V60" s="296"/>
      <c r="W60" s="296"/>
      <c r="Z60" t="s">
        <v>239</v>
      </c>
      <c r="AA60" s="156" t="s">
        <v>691</v>
      </c>
      <c r="AB60" s="526"/>
      <c r="AC60" s="526"/>
      <c r="AD60" s="526"/>
      <c r="AE60" s="526"/>
      <c r="AF60" s="526"/>
      <c r="AG60" s="526"/>
      <c r="AH60" s="526"/>
      <c r="AI60" s="526" t="s">
        <v>693</v>
      </c>
      <c r="AJ60" s="526"/>
      <c r="AK60" s="526" t="s">
        <v>700</v>
      </c>
      <c r="AL60" s="526"/>
      <c r="AM60" s="526" t="s">
        <v>693</v>
      </c>
      <c r="AN60" s="526"/>
      <c r="AO60" s="526" t="s">
        <v>700</v>
      </c>
      <c r="AP60" s="526"/>
    </row>
    <row r="61" spans="1:55" ht="15" customHeight="1" x14ac:dyDescent="0.25">
      <c r="B61" s="111" t="s">
        <v>679</v>
      </c>
      <c r="C61" s="106" t="s">
        <v>935</v>
      </c>
      <c r="D61" s="112" t="s">
        <v>733</v>
      </c>
      <c r="E61" s="130" t="s">
        <v>934</v>
      </c>
      <c r="F61" s="130" t="s">
        <v>936</v>
      </c>
      <c r="G61" s="130" t="s">
        <v>734</v>
      </c>
      <c r="H61" s="131" t="s">
        <v>733</v>
      </c>
      <c r="I61" s="130" t="s">
        <v>934</v>
      </c>
      <c r="J61" s="130" t="s">
        <v>936</v>
      </c>
      <c r="K61" s="132" t="s">
        <v>735</v>
      </c>
      <c r="N61" s="160" t="s">
        <v>679</v>
      </c>
      <c r="O61" s="161" t="s">
        <v>697</v>
      </c>
      <c r="P61" s="161" t="s">
        <v>733</v>
      </c>
      <c r="Q61" s="162" t="s">
        <v>698</v>
      </c>
      <c r="R61" s="162" t="s">
        <v>699</v>
      </c>
      <c r="S61" s="162" t="s">
        <v>734</v>
      </c>
      <c r="T61" s="200" t="s">
        <v>733</v>
      </c>
      <c r="U61" s="162" t="s">
        <v>698</v>
      </c>
      <c r="V61" s="162" t="s">
        <v>699</v>
      </c>
      <c r="W61" s="163" t="s">
        <v>735</v>
      </c>
      <c r="Z61" s="205" t="s">
        <v>679</v>
      </c>
      <c r="AA61" s="271" t="s">
        <v>922</v>
      </c>
      <c r="AB61" s="271" t="s">
        <v>923</v>
      </c>
      <c r="AC61" s="271" t="s">
        <v>924</v>
      </c>
      <c r="AD61" s="271" t="s">
        <v>925</v>
      </c>
      <c r="AE61" s="272" t="s">
        <v>928</v>
      </c>
      <c r="AF61" s="272" t="s">
        <v>929</v>
      </c>
      <c r="AG61" s="272" t="s">
        <v>930</v>
      </c>
      <c r="AH61" s="272" t="s">
        <v>931</v>
      </c>
      <c r="AI61" s="273" t="s">
        <v>687</v>
      </c>
      <c r="AJ61" s="273" t="s">
        <v>688</v>
      </c>
      <c r="AK61" s="273" t="s">
        <v>689</v>
      </c>
      <c r="AL61" s="273" t="s">
        <v>690</v>
      </c>
      <c r="AM61" s="218" t="s">
        <v>687</v>
      </c>
      <c r="AN61" s="273" t="s">
        <v>688</v>
      </c>
      <c r="AO61" s="273" t="s">
        <v>689</v>
      </c>
      <c r="AP61" s="273" t="s">
        <v>690</v>
      </c>
    </row>
    <row r="62" spans="1:55" ht="15" customHeight="1" x14ac:dyDescent="0.25">
      <c r="A62" s="15">
        <v>300</v>
      </c>
      <c r="B62" s="56" t="s">
        <v>75</v>
      </c>
      <c r="C62" s="285">
        <v>19</v>
      </c>
      <c r="D62" s="286">
        <v>71801.100000000006</v>
      </c>
      <c r="E62" s="287">
        <v>49560</v>
      </c>
      <c r="F62" s="287">
        <v>-22241.100000000006</v>
      </c>
      <c r="G62" s="133">
        <f t="shared" ref="G62:G67" si="51">IFERROR(F62/E62,"--")</f>
        <v>-0.44877118644067809</v>
      </c>
      <c r="H62" s="276">
        <v>93656.903685199999</v>
      </c>
      <c r="I62" s="275">
        <v>68577.327089600003</v>
      </c>
      <c r="J62" s="287">
        <v>-25079.576595599996</v>
      </c>
      <c r="K62" s="133">
        <f t="shared" ref="K62:K67" si="52">IFERROR(J62/I62,"--")</f>
        <v>-0.36571236675398805</v>
      </c>
      <c r="N62" s="164" t="s">
        <v>75</v>
      </c>
      <c r="O62" s="288">
        <v>19</v>
      </c>
      <c r="P62" s="289">
        <v>65544.25</v>
      </c>
      <c r="Q62" s="290">
        <v>46152</v>
      </c>
      <c r="R62" s="290">
        <v>-19392.25</v>
      </c>
      <c r="S62" s="181">
        <v>-0.42018222395562488</v>
      </c>
      <c r="T62" s="291">
        <v>84834.213762719999</v>
      </c>
      <c r="U62" s="277">
        <v>63285.709866559999</v>
      </c>
      <c r="V62" s="290">
        <v>-21548.50389616</v>
      </c>
      <c r="W62" s="182">
        <v>-0.34049557066825559</v>
      </c>
      <c r="Z62" s="292" t="s">
        <v>75</v>
      </c>
      <c r="AA62" s="189">
        <f>IF($D62="-","-",IF($P62="-","-",D62))</f>
        <v>71801.100000000006</v>
      </c>
      <c r="AB62" s="189">
        <f>IF($D62="-","-",IF($P62="-","-",E62))</f>
        <v>49560</v>
      </c>
      <c r="AC62" s="189">
        <f>IF($D62="-","-",IF($P62="-","-",H62))</f>
        <v>93656.903685199999</v>
      </c>
      <c r="AD62" s="189">
        <f>IF($D62="-","-",IF($P62="-","-",I62))</f>
        <v>68577.327089600003</v>
      </c>
      <c r="AE62" s="189">
        <f>IF($D62="-","-",IF($P62="-","-",P62))</f>
        <v>65544.25</v>
      </c>
      <c r="AF62" s="189">
        <f>IF($D62="-","-",IF($P62="-","-",Q62))</f>
        <v>46152</v>
      </c>
      <c r="AG62" s="189">
        <f>IF($D62="-","-",IF($P62="-","-",T62))</f>
        <v>84834.213762719999</v>
      </c>
      <c r="AH62" s="189">
        <f>IF($D62="-","-",IF($P62="-","-",U62))</f>
        <v>63285.709866559999</v>
      </c>
      <c r="AI62" s="206">
        <f>IFERROR(AA62-AE62,"-")</f>
        <v>6256.8500000000058</v>
      </c>
      <c r="AJ62" s="206">
        <f>IFERROR(AB62-AF62,"-")</f>
        <v>3408</v>
      </c>
      <c r="AK62" s="189">
        <f>IFERROR(AC62-AG62,"-")</f>
        <v>8822.68992248</v>
      </c>
      <c r="AL62" s="189">
        <f>IFERROR(AD62-AH62,"-")</f>
        <v>5291.6172230400043</v>
      </c>
      <c r="AM62" s="219">
        <f t="shared" ref="AM62:AP66" si="53">IFERROR(AI62/AE62,"-")</f>
        <v>9.5459937370555095E-2</v>
      </c>
      <c r="AN62" s="214">
        <f t="shared" si="53"/>
        <v>7.3842953718148724E-2</v>
      </c>
      <c r="AO62" s="214">
        <f t="shared" si="53"/>
        <v>0.1039991947960634</v>
      </c>
      <c r="AP62" s="214">
        <f t="shared" si="53"/>
        <v>8.3614724938656029E-2</v>
      </c>
    </row>
    <row r="63" spans="1:55" ht="15" customHeight="1" x14ac:dyDescent="0.25">
      <c r="A63" s="15">
        <v>301</v>
      </c>
      <c r="B63" s="56" t="s">
        <v>76</v>
      </c>
      <c r="C63" s="285">
        <v>13</v>
      </c>
      <c r="D63" s="286">
        <v>68427.504749999993</v>
      </c>
      <c r="E63" s="287">
        <v>53304</v>
      </c>
      <c r="F63" s="287">
        <v>-15123.504749999993</v>
      </c>
      <c r="G63" s="133">
        <f t="shared" si="51"/>
        <v>-0.28372176103106694</v>
      </c>
      <c r="H63" s="276">
        <v>90446.805700395838</v>
      </c>
      <c r="I63" s="275">
        <v>72795.546472639995</v>
      </c>
      <c r="J63" s="287">
        <v>-17651.259227755843</v>
      </c>
      <c r="K63" s="133">
        <f t="shared" si="52"/>
        <v>-0.24247718552933756</v>
      </c>
      <c r="N63" s="164" t="s">
        <v>76</v>
      </c>
      <c r="O63" s="288">
        <v>13</v>
      </c>
      <c r="P63" s="289">
        <v>60816.005784381836</v>
      </c>
      <c r="Q63" s="290">
        <v>46152</v>
      </c>
      <c r="R63" s="290">
        <v>-14664.005784381836</v>
      </c>
      <c r="S63" s="181">
        <v>-0.3177328346416588</v>
      </c>
      <c r="T63" s="291">
        <v>79952.456221181841</v>
      </c>
      <c r="U63" s="277">
        <v>63285.709866559999</v>
      </c>
      <c r="V63" s="290">
        <v>-16666.746354621842</v>
      </c>
      <c r="W63" s="182">
        <v>-0.26335718426425531</v>
      </c>
      <c r="Z63" s="292" t="s">
        <v>76</v>
      </c>
      <c r="AA63" s="189">
        <f t="shared" ref="AA63:AB66" si="54">IF($D63="-","-",IF($P63="-","-",D63))</f>
        <v>68427.504749999993</v>
      </c>
      <c r="AB63" s="189">
        <f t="shared" si="54"/>
        <v>53304</v>
      </c>
      <c r="AC63" s="189">
        <f t="shared" ref="AC63:AD66" si="55">IF($D63="-","-",IF($P63="-","-",H63))</f>
        <v>90446.805700395838</v>
      </c>
      <c r="AD63" s="189">
        <f t="shared" si="55"/>
        <v>72795.546472639995</v>
      </c>
      <c r="AE63" s="189">
        <f t="shared" ref="AE63:AF66" si="56">IF($D63="-","-",IF($P63="-","-",P63))</f>
        <v>60816.005784381836</v>
      </c>
      <c r="AF63" s="189">
        <f t="shared" si="56"/>
        <v>46152</v>
      </c>
      <c r="AG63" s="189">
        <f t="shared" ref="AG63:AH66" si="57">IF($D63="-","-",IF($P63="-","-",T63))</f>
        <v>79952.456221181841</v>
      </c>
      <c r="AH63" s="189">
        <f t="shared" si="57"/>
        <v>63285.709866559999</v>
      </c>
      <c r="AI63" s="206">
        <f t="shared" ref="AI63:AL64" si="58">IFERROR(AA63-AE63,"-")</f>
        <v>7611.4989656181569</v>
      </c>
      <c r="AJ63" s="206">
        <f t="shared" si="58"/>
        <v>7152</v>
      </c>
      <c r="AK63" s="189">
        <f t="shared" si="58"/>
        <v>10494.349479213997</v>
      </c>
      <c r="AL63" s="189">
        <f t="shared" si="58"/>
        <v>9509.8366060799963</v>
      </c>
      <c r="AM63" s="219">
        <f t="shared" si="53"/>
        <v>0.12515617998005496</v>
      </c>
      <c r="AN63" s="214">
        <f t="shared" si="53"/>
        <v>0.15496619864794592</v>
      </c>
      <c r="AO63" s="214">
        <f t="shared" si="53"/>
        <v>0.13125737438487506</v>
      </c>
      <c r="AP63" s="214">
        <f t="shared" si="53"/>
        <v>0.15026830900896584</v>
      </c>
    </row>
    <row r="64" spans="1:55" ht="15" customHeight="1" x14ac:dyDescent="0.25">
      <c r="A64" s="15">
        <v>302</v>
      </c>
      <c r="B64" s="56" t="s">
        <v>77</v>
      </c>
      <c r="C64" s="285">
        <v>2</v>
      </c>
      <c r="D64" s="286" t="s">
        <v>684</v>
      </c>
      <c r="E64" s="287" t="s">
        <v>684</v>
      </c>
      <c r="F64" s="287" t="s">
        <v>484</v>
      </c>
      <c r="G64" s="133" t="str">
        <f t="shared" si="51"/>
        <v>--</v>
      </c>
      <c r="H64" s="276" t="s">
        <v>684</v>
      </c>
      <c r="I64" s="275" t="s">
        <v>684</v>
      </c>
      <c r="J64" s="287" t="s">
        <v>484</v>
      </c>
      <c r="K64" s="133" t="str">
        <f t="shared" si="52"/>
        <v>--</v>
      </c>
      <c r="N64" s="164" t="s">
        <v>77</v>
      </c>
      <c r="O64" s="288">
        <v>3</v>
      </c>
      <c r="P64" s="289" t="s">
        <v>684</v>
      </c>
      <c r="Q64" s="290" t="s">
        <v>684</v>
      </c>
      <c r="R64" s="290" t="s">
        <v>484</v>
      </c>
      <c r="S64" s="181" t="s">
        <v>484</v>
      </c>
      <c r="T64" s="291" t="s">
        <v>684</v>
      </c>
      <c r="U64" s="277" t="s">
        <v>684</v>
      </c>
      <c r="V64" s="290" t="s">
        <v>484</v>
      </c>
      <c r="W64" s="182" t="s">
        <v>484</v>
      </c>
      <c r="Z64" s="292" t="s">
        <v>77</v>
      </c>
      <c r="AA64" s="189" t="str">
        <f t="shared" si="54"/>
        <v>-</v>
      </c>
      <c r="AB64" s="189" t="str">
        <f t="shared" si="54"/>
        <v>-</v>
      </c>
      <c r="AC64" s="189" t="str">
        <f t="shared" si="55"/>
        <v>-</v>
      </c>
      <c r="AD64" s="189" t="str">
        <f t="shared" si="55"/>
        <v>-</v>
      </c>
      <c r="AE64" s="189" t="str">
        <f t="shared" si="56"/>
        <v>-</v>
      </c>
      <c r="AF64" s="189" t="str">
        <f t="shared" si="56"/>
        <v>-</v>
      </c>
      <c r="AG64" s="189" t="str">
        <f t="shared" si="57"/>
        <v>-</v>
      </c>
      <c r="AH64" s="189" t="str">
        <f t="shared" si="57"/>
        <v>-</v>
      </c>
      <c r="AI64" s="206" t="str">
        <f t="shared" si="58"/>
        <v>-</v>
      </c>
      <c r="AJ64" s="206" t="str">
        <f t="shared" si="58"/>
        <v>-</v>
      </c>
      <c r="AK64" s="189" t="str">
        <f t="shared" si="58"/>
        <v>-</v>
      </c>
      <c r="AL64" s="189" t="str">
        <f t="shared" si="58"/>
        <v>-</v>
      </c>
      <c r="AM64" s="219" t="str">
        <f t="shared" si="53"/>
        <v>-</v>
      </c>
      <c r="AN64" s="214" t="str">
        <f t="shared" si="53"/>
        <v>-</v>
      </c>
      <c r="AO64" s="214" t="str">
        <f t="shared" si="53"/>
        <v>-</v>
      </c>
      <c r="AP64" s="214" t="str">
        <f t="shared" si="53"/>
        <v>-</v>
      </c>
    </row>
    <row r="65" spans="1:55" ht="15.75" x14ac:dyDescent="0.25">
      <c r="A65" s="15">
        <v>303</v>
      </c>
      <c r="B65" s="56" t="s">
        <v>78</v>
      </c>
      <c r="C65" s="285">
        <v>15</v>
      </c>
      <c r="D65" s="286">
        <v>81785.050783609899</v>
      </c>
      <c r="E65" s="287">
        <v>49560</v>
      </c>
      <c r="F65" s="287">
        <v>-32225.050783609899</v>
      </c>
      <c r="G65" s="133">
        <f t="shared" si="51"/>
        <v>-0.65022297787752015</v>
      </c>
      <c r="H65" s="276">
        <v>104038.2050896978</v>
      </c>
      <c r="I65" s="275">
        <v>68577.327089600003</v>
      </c>
      <c r="J65" s="287">
        <v>-35460.8780000978</v>
      </c>
      <c r="K65" s="133">
        <f t="shared" si="52"/>
        <v>-0.51709332377108019</v>
      </c>
      <c r="N65" s="164" t="s">
        <v>78</v>
      </c>
      <c r="O65" s="288">
        <v>13</v>
      </c>
      <c r="P65" s="289">
        <v>68820.99779195289</v>
      </c>
      <c r="Q65" s="290">
        <v>46152</v>
      </c>
      <c r="R65" s="290">
        <v>-22668.99779195289</v>
      </c>
      <c r="S65" s="181">
        <v>-0.49118126607628898</v>
      </c>
      <c r="T65" s="291">
        <v>88556.126269969784</v>
      </c>
      <c r="U65" s="277">
        <v>63285.709866559999</v>
      </c>
      <c r="V65" s="290">
        <v>-25270.416403409785</v>
      </c>
      <c r="W65" s="182">
        <v>-0.39930683335453276</v>
      </c>
      <c r="Z65" s="292" t="s">
        <v>78</v>
      </c>
      <c r="AA65" s="189">
        <f t="shared" si="54"/>
        <v>81785.050783609899</v>
      </c>
      <c r="AB65" s="189">
        <f t="shared" si="54"/>
        <v>49560</v>
      </c>
      <c r="AC65" s="189">
        <f t="shared" si="55"/>
        <v>104038.2050896978</v>
      </c>
      <c r="AD65" s="189">
        <f t="shared" si="55"/>
        <v>68577.327089600003</v>
      </c>
      <c r="AE65" s="189">
        <f t="shared" si="56"/>
        <v>68820.99779195289</v>
      </c>
      <c r="AF65" s="189">
        <f t="shared" si="56"/>
        <v>46152</v>
      </c>
      <c r="AG65" s="189">
        <f t="shared" si="57"/>
        <v>88556.126269969784</v>
      </c>
      <c r="AH65" s="189">
        <f t="shared" si="57"/>
        <v>63285.709866559999</v>
      </c>
      <c r="AI65" s="206">
        <f>IFERROR(AA65-AE65,"-")</f>
        <v>12964.052991657009</v>
      </c>
      <c r="AJ65" s="206">
        <f>IFERROR(AB65-AF65,"-")</f>
        <v>3408</v>
      </c>
      <c r="AK65" s="189">
        <f>IFERROR(AC65-AG65,"-")</f>
        <v>15482.07881972802</v>
      </c>
      <c r="AL65" s="189">
        <f>IFERROR(AD65-AH65,"-")</f>
        <v>5291.6172230400043</v>
      </c>
      <c r="AM65" s="219">
        <f t="shared" si="53"/>
        <v>0.1883735111026372</v>
      </c>
      <c r="AN65" s="214">
        <f t="shared" si="53"/>
        <v>7.3842953718148724E-2</v>
      </c>
      <c r="AO65" s="214">
        <f t="shared" si="53"/>
        <v>0.17482786874089071</v>
      </c>
      <c r="AP65" s="214">
        <f t="shared" si="53"/>
        <v>8.3614724938656029E-2</v>
      </c>
    </row>
    <row r="66" spans="1:55" ht="15" customHeight="1" x14ac:dyDescent="0.25">
      <c r="A66" s="15">
        <v>304</v>
      </c>
      <c r="B66" s="56" t="s">
        <v>79</v>
      </c>
      <c r="C66" s="285">
        <v>4</v>
      </c>
      <c r="D66" s="286" t="s">
        <v>684</v>
      </c>
      <c r="E66" s="287" t="s">
        <v>684</v>
      </c>
      <c r="F66" s="287" t="s">
        <v>484</v>
      </c>
      <c r="G66" s="133" t="str">
        <f t="shared" si="51"/>
        <v>--</v>
      </c>
      <c r="H66" s="276" t="s">
        <v>684</v>
      </c>
      <c r="I66" s="275" t="s">
        <v>684</v>
      </c>
      <c r="J66" s="287" t="s">
        <v>484</v>
      </c>
      <c r="K66" s="133" t="str">
        <f t="shared" si="52"/>
        <v>--</v>
      </c>
      <c r="N66" s="164" t="s">
        <v>79</v>
      </c>
      <c r="O66" s="288">
        <v>4</v>
      </c>
      <c r="P66" s="289" t="s">
        <v>684</v>
      </c>
      <c r="Q66" s="290" t="s">
        <v>684</v>
      </c>
      <c r="R66" s="290" t="s">
        <v>484</v>
      </c>
      <c r="S66" s="181" t="s">
        <v>484</v>
      </c>
      <c r="T66" s="291" t="s">
        <v>684</v>
      </c>
      <c r="U66" s="277" t="s">
        <v>684</v>
      </c>
      <c r="V66" s="290" t="s">
        <v>484</v>
      </c>
      <c r="W66" s="182" t="s">
        <v>484</v>
      </c>
      <c r="Z66" s="292" t="s">
        <v>79</v>
      </c>
      <c r="AA66" s="189" t="str">
        <f t="shared" si="54"/>
        <v>-</v>
      </c>
      <c r="AB66" s="189" t="str">
        <f t="shared" si="54"/>
        <v>-</v>
      </c>
      <c r="AC66" s="189" t="str">
        <f t="shared" si="55"/>
        <v>-</v>
      </c>
      <c r="AD66" s="189" t="str">
        <f t="shared" si="55"/>
        <v>-</v>
      </c>
      <c r="AE66" s="189" t="str">
        <f t="shared" si="56"/>
        <v>-</v>
      </c>
      <c r="AF66" s="189" t="str">
        <f t="shared" si="56"/>
        <v>-</v>
      </c>
      <c r="AG66" s="189" t="str">
        <f t="shared" si="57"/>
        <v>-</v>
      </c>
      <c r="AH66" s="189" t="str">
        <f t="shared" si="57"/>
        <v>-</v>
      </c>
      <c r="AI66" s="206" t="str">
        <f t="shared" ref="AI66:AL67" si="59">IFERROR(AA66-AE66,"-")</f>
        <v>-</v>
      </c>
      <c r="AJ66" s="206" t="str">
        <f t="shared" si="59"/>
        <v>-</v>
      </c>
      <c r="AK66" s="189" t="str">
        <f t="shared" si="59"/>
        <v>-</v>
      </c>
      <c r="AL66" s="189" t="str">
        <f t="shared" si="59"/>
        <v>-</v>
      </c>
      <c r="AM66" s="219" t="str">
        <f t="shared" si="53"/>
        <v>-</v>
      </c>
      <c r="AN66" s="214" t="str">
        <f t="shared" si="53"/>
        <v>-</v>
      </c>
      <c r="AO66" s="214" t="str">
        <f t="shared" si="53"/>
        <v>-</v>
      </c>
      <c r="AP66" s="214" t="str">
        <f t="shared" si="53"/>
        <v>-</v>
      </c>
    </row>
    <row r="67" spans="1:55" ht="15" customHeight="1" x14ac:dyDescent="0.25">
      <c r="B67" s="62" t="s">
        <v>680</v>
      </c>
      <c r="C67" s="63"/>
      <c r="D67" s="124">
        <v>74004.551844536632</v>
      </c>
      <c r="E67" s="124">
        <v>50808</v>
      </c>
      <c r="F67" s="124">
        <v>-23196.551844536632</v>
      </c>
      <c r="G67" s="125">
        <f t="shared" si="51"/>
        <v>-0.4565531381777797</v>
      </c>
      <c r="H67" s="126">
        <v>96047.30482509789</v>
      </c>
      <c r="I67" s="127">
        <v>69983.400217279996</v>
      </c>
      <c r="J67" s="124">
        <v>-26063.904607817894</v>
      </c>
      <c r="K67" s="125">
        <f t="shared" si="52"/>
        <v>-0.37242981231115302</v>
      </c>
      <c r="N67" s="183" t="s">
        <v>680</v>
      </c>
      <c r="O67" s="184"/>
      <c r="P67" s="185">
        <v>65060.417858778244</v>
      </c>
      <c r="Q67" s="185">
        <v>46152</v>
      </c>
      <c r="R67" s="185">
        <v>-18908.417858778244</v>
      </c>
      <c r="S67" s="186">
        <v>-0.40969877489119094</v>
      </c>
      <c r="T67" s="201">
        <v>84447.598751290541</v>
      </c>
      <c r="U67" s="187">
        <v>63285.709866559999</v>
      </c>
      <c r="V67" s="185">
        <v>-21161.888884730542</v>
      </c>
      <c r="W67" s="188">
        <v>-0.33438652942901459</v>
      </c>
      <c r="Z67" s="209" t="s">
        <v>680</v>
      </c>
      <c r="AA67" s="212">
        <f t="shared" ref="AA67:AH67" si="60">AVERAGE(AA62:AA66)</f>
        <v>74004.551844536632</v>
      </c>
      <c r="AB67" s="212">
        <f t="shared" si="60"/>
        <v>50808</v>
      </c>
      <c r="AC67" s="212">
        <f t="shared" si="60"/>
        <v>96047.30482509789</v>
      </c>
      <c r="AD67" s="212">
        <f t="shared" si="60"/>
        <v>69983.400217279996</v>
      </c>
      <c r="AE67" s="212">
        <f t="shared" si="60"/>
        <v>65060.417858778244</v>
      </c>
      <c r="AF67" s="212">
        <f t="shared" si="60"/>
        <v>46152</v>
      </c>
      <c r="AG67" s="212">
        <f t="shared" si="60"/>
        <v>84447.598751290541</v>
      </c>
      <c r="AH67" s="212">
        <f t="shared" si="60"/>
        <v>63285.709866559999</v>
      </c>
      <c r="AI67" s="210">
        <f t="shared" si="59"/>
        <v>8944.133985758388</v>
      </c>
      <c r="AJ67" s="210">
        <f t="shared" si="59"/>
        <v>4656</v>
      </c>
      <c r="AK67" s="204">
        <f t="shared" si="59"/>
        <v>11599.706073807349</v>
      </c>
      <c r="AL67" s="204">
        <f t="shared" si="59"/>
        <v>6697.6903507199968</v>
      </c>
      <c r="AM67" s="220">
        <f t="shared" ref="AM67:AP67" si="61">AI67/AE67</f>
        <v>0.13747427821894331</v>
      </c>
      <c r="AN67" s="215">
        <f t="shared" si="61"/>
        <v>0.10088403536141445</v>
      </c>
      <c r="AO67" s="215">
        <f t="shared" si="61"/>
        <v>0.13735980945971044</v>
      </c>
      <c r="AP67" s="215">
        <f t="shared" si="61"/>
        <v>0.10583258629542588</v>
      </c>
    </row>
    <row r="68" spans="1:55" ht="15" customHeight="1" x14ac:dyDescent="0.25">
      <c r="AI68" s="158"/>
      <c r="AJ68" s="158"/>
      <c r="AK68" s="159"/>
      <c r="AL68" s="159"/>
    </row>
    <row r="69" spans="1:55" ht="15" customHeight="1" x14ac:dyDescent="0.25">
      <c r="AI69" s="158"/>
      <c r="AJ69" s="158"/>
      <c r="AK69" s="159"/>
      <c r="AL69" s="159"/>
      <c r="AM69" s="159"/>
      <c r="AN69" s="159"/>
      <c r="AO69" s="159"/>
      <c r="AP69" s="159"/>
    </row>
    <row r="70" spans="1:55" ht="15" customHeight="1" x14ac:dyDescent="0.25">
      <c r="AA70" s="528"/>
      <c r="AB70" s="47"/>
      <c r="AC70" s="47"/>
      <c r="AD70" s="47"/>
      <c r="AE70" s="47"/>
      <c r="AF70" s="47"/>
      <c r="AG70" s="47"/>
      <c r="AH70" s="47"/>
      <c r="AI70" s="156" t="s">
        <v>926</v>
      </c>
      <c r="AJ70" s="158"/>
      <c r="AK70" s="159"/>
      <c r="AL70" s="159"/>
      <c r="AM70" s="156" t="s">
        <v>927</v>
      </c>
      <c r="AN70" s="157"/>
      <c r="AO70" s="157"/>
      <c r="AP70" s="157"/>
    </row>
    <row r="71" spans="1:55" ht="15" customHeight="1" x14ac:dyDescent="0.25">
      <c r="B71" s="110" t="s">
        <v>4</v>
      </c>
      <c r="C71" s="302" t="s">
        <v>765</v>
      </c>
      <c r="D71" s="303"/>
      <c r="E71" s="303"/>
      <c r="F71" s="304"/>
      <c r="G71" s="303"/>
      <c r="H71" s="303" t="s">
        <v>435</v>
      </c>
      <c r="I71" s="303"/>
      <c r="J71" s="303"/>
      <c r="K71" s="305"/>
      <c r="N71" s="293"/>
      <c r="O71" s="297" t="s">
        <v>693</v>
      </c>
      <c r="P71" s="296"/>
      <c r="Q71" s="296"/>
      <c r="R71" s="296"/>
      <c r="S71" s="296"/>
      <c r="T71" s="296" t="s">
        <v>700</v>
      </c>
      <c r="U71" s="296"/>
      <c r="V71" s="296"/>
      <c r="W71" s="296"/>
      <c r="Z71" t="s">
        <v>4</v>
      </c>
      <c r="AA71" s="156" t="s">
        <v>691</v>
      </c>
      <c r="AB71" s="526"/>
      <c r="AC71" s="526"/>
      <c r="AD71" s="526"/>
      <c r="AE71" s="526"/>
      <c r="AF71" s="526"/>
      <c r="AG71" s="526"/>
      <c r="AH71" s="526"/>
      <c r="AI71" s="526" t="s">
        <v>693</v>
      </c>
      <c r="AJ71" s="526"/>
      <c r="AK71" s="526" t="s">
        <v>700</v>
      </c>
      <c r="AL71" s="526"/>
      <c r="AM71" s="526" t="s">
        <v>693</v>
      </c>
      <c r="AN71" s="526"/>
      <c r="AO71" s="526" t="s">
        <v>700</v>
      </c>
      <c r="AP71" s="526"/>
    </row>
    <row r="72" spans="1:55" ht="15" customHeight="1" x14ac:dyDescent="0.25">
      <c r="B72" s="111" t="s">
        <v>679</v>
      </c>
      <c r="C72" s="106" t="s">
        <v>935</v>
      </c>
      <c r="D72" s="112" t="s">
        <v>733</v>
      </c>
      <c r="E72" s="130" t="s">
        <v>934</v>
      </c>
      <c r="F72" s="130" t="s">
        <v>936</v>
      </c>
      <c r="G72" s="130" t="s">
        <v>734</v>
      </c>
      <c r="H72" s="131" t="s">
        <v>733</v>
      </c>
      <c r="I72" s="130" t="s">
        <v>934</v>
      </c>
      <c r="J72" s="130" t="s">
        <v>936</v>
      </c>
      <c r="K72" s="132" t="s">
        <v>735</v>
      </c>
      <c r="N72" s="160" t="s">
        <v>679</v>
      </c>
      <c r="O72" s="161" t="s">
        <v>697</v>
      </c>
      <c r="P72" s="161" t="s">
        <v>733</v>
      </c>
      <c r="Q72" s="162" t="s">
        <v>698</v>
      </c>
      <c r="R72" s="162" t="s">
        <v>699</v>
      </c>
      <c r="S72" s="162" t="s">
        <v>734</v>
      </c>
      <c r="T72" s="200" t="s">
        <v>733</v>
      </c>
      <c r="U72" s="162" t="s">
        <v>698</v>
      </c>
      <c r="V72" s="162" t="s">
        <v>699</v>
      </c>
      <c r="W72" s="163" t="s">
        <v>735</v>
      </c>
      <c r="Z72" s="205" t="s">
        <v>679</v>
      </c>
      <c r="AA72" s="271" t="s">
        <v>922</v>
      </c>
      <c r="AB72" s="271" t="s">
        <v>923</v>
      </c>
      <c r="AC72" s="271" t="s">
        <v>924</v>
      </c>
      <c r="AD72" s="271" t="s">
        <v>925</v>
      </c>
      <c r="AE72" s="272" t="s">
        <v>928</v>
      </c>
      <c r="AF72" s="272" t="s">
        <v>929</v>
      </c>
      <c r="AG72" s="272" t="s">
        <v>930</v>
      </c>
      <c r="AH72" s="272" t="s">
        <v>931</v>
      </c>
      <c r="AI72" s="273" t="s">
        <v>687</v>
      </c>
      <c r="AJ72" s="273" t="s">
        <v>688</v>
      </c>
      <c r="AK72" s="273" t="s">
        <v>689</v>
      </c>
      <c r="AL72" s="273" t="s">
        <v>690</v>
      </c>
      <c r="AM72" s="218" t="s">
        <v>687</v>
      </c>
      <c r="AN72" s="273" t="s">
        <v>688</v>
      </c>
      <c r="AO72" s="273" t="s">
        <v>689</v>
      </c>
      <c r="AP72" s="273" t="s">
        <v>690</v>
      </c>
    </row>
    <row r="73" spans="1:55" ht="15" customHeight="1" x14ac:dyDescent="0.25">
      <c r="A73" s="15">
        <v>400</v>
      </c>
      <c r="B73" s="56" t="s">
        <v>80</v>
      </c>
      <c r="C73" s="285">
        <v>14</v>
      </c>
      <c r="D73" s="286">
        <v>67581.7</v>
      </c>
      <c r="E73" s="287">
        <v>56976</v>
      </c>
      <c r="F73" s="287">
        <v>-10605.699999999997</v>
      </c>
      <c r="G73" s="133">
        <f t="shared" ref="G73:G84" si="62">IFERROR(F73/E73,"--")</f>
        <v>-0.18614328840213418</v>
      </c>
      <c r="H73" s="276">
        <v>87568.150988754496</v>
      </c>
      <c r="I73" s="275">
        <v>76932.646252160004</v>
      </c>
      <c r="J73" s="287">
        <v>-10635.504736594492</v>
      </c>
      <c r="K73" s="133">
        <f t="shared" ref="K73:K85" si="63">IFERROR(J73/I73,"--")</f>
        <v>-0.13824436380018429</v>
      </c>
      <c r="N73" s="164" t="s">
        <v>80</v>
      </c>
      <c r="O73" s="288">
        <v>8</v>
      </c>
      <c r="P73" s="289">
        <v>63491</v>
      </c>
      <c r="Q73" s="290">
        <v>53052</v>
      </c>
      <c r="R73" s="290">
        <v>-10439</v>
      </c>
      <c r="S73" s="181">
        <v>-0.19676920756993138</v>
      </c>
      <c r="T73" s="291">
        <v>81837.454272279443</v>
      </c>
      <c r="U73" s="277">
        <v>71088.383598560002</v>
      </c>
      <c r="V73" s="290">
        <v>-10749.070673719441</v>
      </c>
      <c r="W73" s="182">
        <v>-0.15120713300248931</v>
      </c>
      <c r="Z73" s="292" t="s">
        <v>80</v>
      </c>
      <c r="AA73" s="189">
        <f>IF($D73="-","-",IF($P73="-","-",D73))</f>
        <v>67581.7</v>
      </c>
      <c r="AB73" s="189">
        <f>IF($D73="-","-",IF($P73="-","-",E73))</f>
        <v>56976</v>
      </c>
      <c r="AC73" s="189">
        <f>IF($D73="-","-",IF($P73="-","-",H73))</f>
        <v>87568.150988754496</v>
      </c>
      <c r="AD73" s="189">
        <f>IF($D73="-","-",IF($P73="-","-",I73))</f>
        <v>76932.646252160004</v>
      </c>
      <c r="AE73" s="189">
        <f>IF($D73="-","-",IF($P73="-","-",P73))</f>
        <v>63491</v>
      </c>
      <c r="AF73" s="189">
        <f>IF($D73="-","-",IF($P73="-","-",Q73))</f>
        <v>53052</v>
      </c>
      <c r="AG73" s="189">
        <f>IF($D73="-","-",IF($P73="-","-",T73))</f>
        <v>81837.454272279443</v>
      </c>
      <c r="AH73" s="189">
        <f>IF($D73="-","-",IF($P73="-","-",U73))</f>
        <v>71088.383598560002</v>
      </c>
      <c r="AI73" s="206">
        <f>IFERROR(AA73-AE73,"-")</f>
        <v>4090.6999999999971</v>
      </c>
      <c r="AJ73" s="206">
        <f>IFERROR(AB73-AF73,"-")</f>
        <v>3924</v>
      </c>
      <c r="AK73" s="189">
        <f>IFERROR(AC73-AG73,"-")</f>
        <v>5730.6967164750531</v>
      </c>
      <c r="AL73" s="189">
        <f>IFERROR(AD73-AH73,"-")</f>
        <v>5844.2626536000025</v>
      </c>
      <c r="AM73" s="219">
        <f t="shared" ref="AM73:AP83" si="64">IFERROR(AI73/AE73,"-")</f>
        <v>6.4429604195870238E-2</v>
      </c>
      <c r="AN73" s="214">
        <f t="shared" si="64"/>
        <v>7.3965166251979186E-2</v>
      </c>
      <c r="AO73" s="214">
        <f t="shared" si="64"/>
        <v>7.0025354129523487E-2</v>
      </c>
      <c r="AP73" s="214">
        <f t="shared" si="64"/>
        <v>8.2211218735860903E-2</v>
      </c>
    </row>
    <row r="74" spans="1:55" ht="15" customHeight="1" x14ac:dyDescent="0.25">
      <c r="A74" s="15">
        <v>401</v>
      </c>
      <c r="B74" s="56" t="s">
        <v>81</v>
      </c>
      <c r="C74" s="285">
        <v>23</v>
      </c>
      <c r="D74" s="286">
        <v>109841</v>
      </c>
      <c r="E74" s="287">
        <v>75150</v>
      </c>
      <c r="F74" s="287">
        <v>-34691</v>
      </c>
      <c r="G74" s="133">
        <f t="shared" si="62"/>
        <v>-0.46162341982701266</v>
      </c>
      <c r="H74" s="276">
        <v>137284.855309632</v>
      </c>
      <c r="I74" s="275">
        <v>97408.586173999996</v>
      </c>
      <c r="J74" s="287">
        <v>-39876.269135631999</v>
      </c>
      <c r="K74" s="133">
        <f t="shared" si="63"/>
        <v>-0.4093711930527501</v>
      </c>
      <c r="N74" s="164" t="s">
        <v>81</v>
      </c>
      <c r="O74" s="288">
        <v>20</v>
      </c>
      <c r="P74" s="289">
        <v>101049.91125</v>
      </c>
      <c r="Q74" s="290">
        <v>69990</v>
      </c>
      <c r="R74" s="290">
        <v>-31059.911250000005</v>
      </c>
      <c r="S74" s="181">
        <v>-0.44377641448778404</v>
      </c>
      <c r="T74" s="291">
        <v>126030.32014536475</v>
      </c>
      <c r="U74" s="277">
        <v>90242.251377199995</v>
      </c>
      <c r="V74" s="290">
        <v>-35788.068768164754</v>
      </c>
      <c r="W74" s="182">
        <v>-0.39657774736332352</v>
      </c>
      <c r="Z74" s="292" t="s">
        <v>81</v>
      </c>
      <c r="AA74" s="189">
        <f t="shared" ref="AA74:AB83" si="65">IF($D74="-","-",IF($P74="-","-",D74))</f>
        <v>109841</v>
      </c>
      <c r="AB74" s="189">
        <f t="shared" si="65"/>
        <v>75150</v>
      </c>
      <c r="AC74" s="189">
        <f t="shared" ref="AC74:AD83" si="66">IF($D74="-","-",IF($P74="-","-",H74))</f>
        <v>137284.855309632</v>
      </c>
      <c r="AD74" s="189">
        <f t="shared" si="66"/>
        <v>97408.586173999996</v>
      </c>
      <c r="AE74" s="189">
        <f t="shared" ref="AE74:AF83" si="67">IF($D74="-","-",IF($P74="-","-",P74))</f>
        <v>101049.91125</v>
      </c>
      <c r="AF74" s="189">
        <f t="shared" si="67"/>
        <v>69990</v>
      </c>
      <c r="AG74" s="189">
        <f t="shared" ref="AG74:AH83" si="68">IF($D74="-","-",IF($P74="-","-",T74))</f>
        <v>126030.32014536475</v>
      </c>
      <c r="AH74" s="189">
        <f t="shared" si="68"/>
        <v>90242.251377199995</v>
      </c>
      <c r="AI74" s="206">
        <f t="shared" ref="AI74:AL85" si="69">IFERROR(AA74-AE74,"-")</f>
        <v>8791.0887499999953</v>
      </c>
      <c r="AJ74" s="206">
        <f t="shared" si="69"/>
        <v>5160</v>
      </c>
      <c r="AK74" s="189">
        <f t="shared" si="69"/>
        <v>11254.535164267247</v>
      </c>
      <c r="AL74" s="189">
        <f t="shared" si="69"/>
        <v>7166.3347968000016</v>
      </c>
      <c r="AM74" s="219">
        <f t="shared" si="64"/>
        <v>8.6997491054204124E-2</v>
      </c>
      <c r="AN74" s="214">
        <f t="shared" si="64"/>
        <v>7.3724817831118727E-2</v>
      </c>
      <c r="AO74" s="214">
        <f t="shared" si="64"/>
        <v>8.9300218798826686E-2</v>
      </c>
      <c r="AP74" s="214">
        <f t="shared" si="64"/>
        <v>7.9412189827198831E-2</v>
      </c>
    </row>
    <row r="75" spans="1:55" ht="15" customHeight="1" x14ac:dyDescent="0.25">
      <c r="A75" s="15">
        <v>402</v>
      </c>
      <c r="B75" s="56" t="s">
        <v>82</v>
      </c>
      <c r="C75" s="285">
        <v>16</v>
      </c>
      <c r="D75" s="286">
        <v>95444.013749999998</v>
      </c>
      <c r="E75" s="287">
        <v>63258</v>
      </c>
      <c r="F75" s="287">
        <v>-32186.013749999998</v>
      </c>
      <c r="G75" s="133">
        <f t="shared" si="62"/>
        <v>-0.50880542777198134</v>
      </c>
      <c r="H75" s="276">
        <v>120085.57115539076</v>
      </c>
      <c r="I75" s="275">
        <v>84010.331659279997</v>
      </c>
      <c r="J75" s="287">
        <v>-36075.239496110764</v>
      </c>
      <c r="K75" s="133">
        <f t="shared" si="63"/>
        <v>-0.42941432063880919</v>
      </c>
      <c r="N75" s="164" t="s">
        <v>82</v>
      </c>
      <c r="O75" s="288">
        <v>13</v>
      </c>
      <c r="P75" s="289">
        <v>92348.05</v>
      </c>
      <c r="Q75" s="290">
        <v>58908</v>
      </c>
      <c r="R75" s="290">
        <v>-33440.050000000003</v>
      </c>
      <c r="S75" s="181">
        <v>-0.56766568208053236</v>
      </c>
      <c r="T75" s="291">
        <v>116751.83143656001</v>
      </c>
      <c r="U75" s="277">
        <v>77710.478870239996</v>
      </c>
      <c r="V75" s="290">
        <v>-39041.352566320013</v>
      </c>
      <c r="W75" s="182">
        <v>-0.50239495540248547</v>
      </c>
      <c r="Z75" s="292" t="s">
        <v>82</v>
      </c>
      <c r="AA75" s="189">
        <f t="shared" si="65"/>
        <v>95444.013749999998</v>
      </c>
      <c r="AB75" s="189">
        <f t="shared" si="65"/>
        <v>63258</v>
      </c>
      <c r="AC75" s="189">
        <f t="shared" si="66"/>
        <v>120085.57115539076</v>
      </c>
      <c r="AD75" s="189">
        <f t="shared" si="66"/>
        <v>84010.331659279997</v>
      </c>
      <c r="AE75" s="189">
        <f t="shared" si="67"/>
        <v>92348.05</v>
      </c>
      <c r="AF75" s="189">
        <f t="shared" si="67"/>
        <v>58908</v>
      </c>
      <c r="AG75" s="189">
        <f t="shared" si="68"/>
        <v>116751.83143656001</v>
      </c>
      <c r="AH75" s="189">
        <f t="shared" si="68"/>
        <v>77710.478870239996</v>
      </c>
      <c r="AI75" s="206">
        <f t="shared" si="69"/>
        <v>3095.9637499999953</v>
      </c>
      <c r="AJ75" s="206">
        <f t="shared" si="69"/>
        <v>4350</v>
      </c>
      <c r="AK75" s="189">
        <f t="shared" si="69"/>
        <v>3333.7397188307514</v>
      </c>
      <c r="AL75" s="189">
        <f t="shared" si="69"/>
        <v>6299.8527890400001</v>
      </c>
      <c r="AM75" s="219">
        <f t="shared" si="64"/>
        <v>3.3524949904193919E-2</v>
      </c>
      <c r="AN75" s="214">
        <f t="shared" si="64"/>
        <v>7.3843960073334686E-2</v>
      </c>
      <c r="AO75" s="214">
        <f t="shared" si="64"/>
        <v>2.855406787038044E-2</v>
      </c>
      <c r="AP75" s="214">
        <f t="shared" si="64"/>
        <v>8.1068253350483357E-2</v>
      </c>
    </row>
    <row r="76" spans="1:55" ht="15" customHeight="1" x14ac:dyDescent="0.25">
      <c r="A76" s="15">
        <v>403</v>
      </c>
      <c r="B76" s="56" t="s">
        <v>83</v>
      </c>
      <c r="C76" s="285">
        <v>14</v>
      </c>
      <c r="D76" s="286">
        <v>73465.39414092782</v>
      </c>
      <c r="E76" s="287">
        <v>52770</v>
      </c>
      <c r="F76" s="287">
        <v>-20695.39414092782</v>
      </c>
      <c r="G76" s="133">
        <f t="shared" si="62"/>
        <v>-0.3921810525095285</v>
      </c>
      <c r="H76" s="276">
        <v>94839.1919770682</v>
      </c>
      <c r="I76" s="275">
        <v>72193.909413200003</v>
      </c>
      <c r="J76" s="287">
        <v>-22645.282563868197</v>
      </c>
      <c r="K76" s="133">
        <f t="shared" si="63"/>
        <v>-0.31367303347237369</v>
      </c>
      <c r="N76" s="164" t="s">
        <v>83</v>
      </c>
      <c r="O76" s="288">
        <v>16</v>
      </c>
      <c r="P76" s="289">
        <v>65769.790000000008</v>
      </c>
      <c r="Q76" s="290">
        <v>49140</v>
      </c>
      <c r="R76" s="290">
        <v>-16629.790000000008</v>
      </c>
      <c r="S76" s="181">
        <v>-0.33841656491656508</v>
      </c>
      <c r="T76" s="291">
        <v>84917.413416425043</v>
      </c>
      <c r="U76" s="277">
        <v>66664.606839200002</v>
      </c>
      <c r="V76" s="290">
        <v>-18252.806577225041</v>
      </c>
      <c r="W76" s="182">
        <v>-0.27380055838703393</v>
      </c>
      <c r="Z76" s="292" t="s">
        <v>83</v>
      </c>
      <c r="AA76" s="189">
        <f t="shared" si="65"/>
        <v>73465.39414092782</v>
      </c>
      <c r="AB76" s="189">
        <f t="shared" si="65"/>
        <v>52770</v>
      </c>
      <c r="AC76" s="189">
        <f t="shared" si="66"/>
        <v>94839.1919770682</v>
      </c>
      <c r="AD76" s="189">
        <f t="shared" si="66"/>
        <v>72193.909413200003</v>
      </c>
      <c r="AE76" s="189">
        <f t="shared" si="67"/>
        <v>65769.790000000008</v>
      </c>
      <c r="AF76" s="189">
        <f t="shared" si="67"/>
        <v>49140</v>
      </c>
      <c r="AG76" s="189">
        <f t="shared" si="68"/>
        <v>84917.413416425043</v>
      </c>
      <c r="AH76" s="189">
        <f t="shared" si="68"/>
        <v>66664.606839200002</v>
      </c>
      <c r="AI76" s="206">
        <f t="shared" si="69"/>
        <v>7695.6041409278114</v>
      </c>
      <c r="AJ76" s="206">
        <f t="shared" si="69"/>
        <v>3630</v>
      </c>
      <c r="AK76" s="189">
        <f t="shared" si="69"/>
        <v>9921.7785606431571</v>
      </c>
      <c r="AL76" s="189">
        <f t="shared" si="69"/>
        <v>5529.3025740000012</v>
      </c>
      <c r="AM76" s="219">
        <f t="shared" si="64"/>
        <v>0.11700819085674152</v>
      </c>
      <c r="AN76" s="214">
        <f t="shared" si="64"/>
        <v>7.3870573870573872E-2</v>
      </c>
      <c r="AO76" s="214">
        <f t="shared" si="64"/>
        <v>0.11684032946208474</v>
      </c>
      <c r="AP76" s="214">
        <f t="shared" si="64"/>
        <v>8.2942101306276217E-2</v>
      </c>
    </row>
    <row r="77" spans="1:55" ht="15" customHeight="1" x14ac:dyDescent="0.25">
      <c r="A77" s="15">
        <v>404</v>
      </c>
      <c r="B77" s="56" t="s">
        <v>84</v>
      </c>
      <c r="C77" s="285">
        <v>14</v>
      </c>
      <c r="D77" s="286">
        <v>68829.995999999999</v>
      </c>
      <c r="E77" s="287">
        <v>52770</v>
      </c>
      <c r="F77" s="287">
        <v>-16059.995999999999</v>
      </c>
      <c r="G77" s="133">
        <f t="shared" si="62"/>
        <v>-0.30433951108584423</v>
      </c>
      <c r="H77" s="276">
        <v>89781.352512301979</v>
      </c>
      <c r="I77" s="275">
        <v>72193.909413200003</v>
      </c>
      <c r="J77" s="287">
        <v>-17587.443099101976</v>
      </c>
      <c r="K77" s="133">
        <f t="shared" si="63"/>
        <v>-0.24361394530445349</v>
      </c>
      <c r="N77" s="164" t="s">
        <v>84</v>
      </c>
      <c r="O77" s="288">
        <v>16</v>
      </c>
      <c r="P77" s="289">
        <v>61195.39</v>
      </c>
      <c r="Q77" s="290">
        <v>49140</v>
      </c>
      <c r="R77" s="290">
        <v>-12055.39</v>
      </c>
      <c r="S77" s="181">
        <v>-0.2453274318274318</v>
      </c>
      <c r="T77" s="291">
        <v>80574.994040267527</v>
      </c>
      <c r="U77" s="277">
        <v>66664.606839200002</v>
      </c>
      <c r="V77" s="290">
        <v>-13910.387201067526</v>
      </c>
      <c r="W77" s="182">
        <v>-0.20866225513967879</v>
      </c>
      <c r="Z77" s="292" t="s">
        <v>84</v>
      </c>
      <c r="AA77" s="189">
        <f t="shared" si="65"/>
        <v>68829.995999999999</v>
      </c>
      <c r="AB77" s="189">
        <f t="shared" si="65"/>
        <v>52770</v>
      </c>
      <c r="AC77" s="189">
        <f t="shared" si="66"/>
        <v>89781.352512301979</v>
      </c>
      <c r="AD77" s="189">
        <f t="shared" si="66"/>
        <v>72193.909413200003</v>
      </c>
      <c r="AE77" s="189">
        <f t="shared" si="67"/>
        <v>61195.39</v>
      </c>
      <c r="AF77" s="189">
        <f t="shared" si="67"/>
        <v>49140</v>
      </c>
      <c r="AG77" s="189">
        <f t="shared" si="68"/>
        <v>80574.994040267527</v>
      </c>
      <c r="AH77" s="189">
        <f t="shared" si="68"/>
        <v>66664.606839200002</v>
      </c>
      <c r="AI77" s="206">
        <f t="shared" si="69"/>
        <v>7634.6059999999998</v>
      </c>
      <c r="AJ77" s="206">
        <f t="shared" si="69"/>
        <v>3630</v>
      </c>
      <c r="AK77" s="189">
        <f t="shared" si="69"/>
        <v>9206.3584720344516</v>
      </c>
      <c r="AL77" s="189">
        <f t="shared" si="69"/>
        <v>5529.3025740000012</v>
      </c>
      <c r="AM77" s="219">
        <f t="shared" si="64"/>
        <v>0.1247578616624553</v>
      </c>
      <c r="AN77" s="214">
        <f t="shared" si="64"/>
        <v>7.3870573870573872E-2</v>
      </c>
      <c r="AO77" s="214">
        <f t="shared" si="64"/>
        <v>0.11425825818160848</v>
      </c>
      <c r="AP77" s="214">
        <f t="shared" si="64"/>
        <v>8.2942101306276217E-2</v>
      </c>
    </row>
    <row r="78" spans="1:55" s="14" customFormat="1" ht="15" customHeight="1" x14ac:dyDescent="0.25">
      <c r="A78" s="15">
        <v>406</v>
      </c>
      <c r="B78" s="56" t="s">
        <v>85</v>
      </c>
      <c r="C78" s="285">
        <v>22</v>
      </c>
      <c r="D78" s="286">
        <v>81732.600000000006</v>
      </c>
      <c r="E78" s="287">
        <v>64344</v>
      </c>
      <c r="F78" s="287">
        <v>-17388.600000000006</v>
      </c>
      <c r="G78" s="133">
        <f t="shared" si="62"/>
        <v>-0.27024431182394637</v>
      </c>
      <c r="H78" s="276">
        <v>105061.86625890181</v>
      </c>
      <c r="I78" s="275">
        <v>85233.885679040002</v>
      </c>
      <c r="J78" s="287">
        <v>-19827.980579861804</v>
      </c>
      <c r="K78" s="133">
        <f t="shared" si="63"/>
        <v>-0.23263025523119771</v>
      </c>
      <c r="L78"/>
      <c r="N78" s="164" t="s">
        <v>85</v>
      </c>
      <c r="O78" s="288">
        <v>19</v>
      </c>
      <c r="P78" s="289">
        <v>72232.5</v>
      </c>
      <c r="Q78" s="290">
        <v>54258</v>
      </c>
      <c r="R78" s="290">
        <v>-17974.5</v>
      </c>
      <c r="S78" s="181">
        <v>-0.33127833683512109</v>
      </c>
      <c r="T78" s="291">
        <v>92250.284376521231</v>
      </c>
      <c r="U78" s="277">
        <v>72452.155268240007</v>
      </c>
      <c r="V78" s="290">
        <v>-19798.129108281224</v>
      </c>
      <c r="W78" s="182">
        <v>-0.27325797327881418</v>
      </c>
      <c r="Z78" s="292" t="s">
        <v>85</v>
      </c>
      <c r="AA78" s="189">
        <f t="shared" si="65"/>
        <v>81732.600000000006</v>
      </c>
      <c r="AB78" s="189">
        <f t="shared" si="65"/>
        <v>64344</v>
      </c>
      <c r="AC78" s="189">
        <f t="shared" si="66"/>
        <v>105061.86625890181</v>
      </c>
      <c r="AD78" s="189">
        <f t="shared" si="66"/>
        <v>85233.885679040002</v>
      </c>
      <c r="AE78" s="189">
        <f t="shared" si="67"/>
        <v>72232.5</v>
      </c>
      <c r="AF78" s="189">
        <f t="shared" si="67"/>
        <v>54258</v>
      </c>
      <c r="AG78" s="189">
        <f t="shared" si="68"/>
        <v>92250.284376521231</v>
      </c>
      <c r="AH78" s="189">
        <f t="shared" si="68"/>
        <v>72452.155268240007</v>
      </c>
      <c r="AI78" s="206">
        <f t="shared" si="69"/>
        <v>9500.1000000000058</v>
      </c>
      <c r="AJ78" s="206">
        <f t="shared" si="69"/>
        <v>10086</v>
      </c>
      <c r="AK78" s="189">
        <f t="shared" si="69"/>
        <v>12811.581882380575</v>
      </c>
      <c r="AL78" s="189">
        <f t="shared" si="69"/>
        <v>12781.730410799995</v>
      </c>
      <c r="AM78" s="219">
        <f t="shared" si="64"/>
        <v>0.13152112968539101</v>
      </c>
      <c r="AN78" s="214">
        <f t="shared" si="64"/>
        <v>0.18588963839433817</v>
      </c>
      <c r="AO78" s="214">
        <f t="shared" si="64"/>
        <v>0.1388785082774365</v>
      </c>
      <c r="AP78" s="214">
        <f t="shared" si="64"/>
        <v>0.1764161516448769</v>
      </c>
      <c r="AQ78"/>
      <c r="AR78"/>
      <c r="AS78"/>
      <c r="AT78"/>
      <c r="AU78"/>
      <c r="AV78"/>
      <c r="AW78"/>
      <c r="AX78"/>
      <c r="AY78"/>
      <c r="AZ78"/>
      <c r="BA78"/>
      <c r="BB78"/>
      <c r="BC78"/>
    </row>
    <row r="79" spans="1:55" ht="15" customHeight="1" x14ac:dyDescent="0.25">
      <c r="A79" s="15">
        <v>407</v>
      </c>
      <c r="B79" s="56" t="s">
        <v>86</v>
      </c>
      <c r="C79" s="285">
        <v>15</v>
      </c>
      <c r="D79" s="286">
        <v>77007.66</v>
      </c>
      <c r="E79" s="287">
        <v>64344</v>
      </c>
      <c r="F79" s="287">
        <v>-12663.660000000003</v>
      </c>
      <c r="G79" s="133">
        <f t="shared" si="62"/>
        <v>-0.19681182394628874</v>
      </c>
      <c r="H79" s="276">
        <v>98584.053599380597</v>
      </c>
      <c r="I79" s="275">
        <v>85233.885679040002</v>
      </c>
      <c r="J79" s="287">
        <v>-13350.167920340595</v>
      </c>
      <c r="K79" s="133">
        <f t="shared" si="63"/>
        <v>-0.15662981704967083</v>
      </c>
      <c r="N79" s="164" t="s">
        <v>86</v>
      </c>
      <c r="O79" s="288">
        <v>14</v>
      </c>
      <c r="P79" s="289">
        <v>69596.540505698111</v>
      </c>
      <c r="Q79" s="290">
        <v>54258</v>
      </c>
      <c r="R79" s="290">
        <v>-15338.540505698111</v>
      </c>
      <c r="S79" s="181">
        <v>-0.28269638589144663</v>
      </c>
      <c r="T79" s="291">
        <v>88314.530968619103</v>
      </c>
      <c r="U79" s="277">
        <v>72452.155268240007</v>
      </c>
      <c r="V79" s="290">
        <v>-15862.375700379096</v>
      </c>
      <c r="W79" s="182">
        <v>-0.21893587073637405</v>
      </c>
      <c r="Z79" s="292" t="s">
        <v>86</v>
      </c>
      <c r="AA79" s="189">
        <f t="shared" si="65"/>
        <v>77007.66</v>
      </c>
      <c r="AB79" s="189">
        <f t="shared" si="65"/>
        <v>64344</v>
      </c>
      <c r="AC79" s="189">
        <f t="shared" si="66"/>
        <v>98584.053599380597</v>
      </c>
      <c r="AD79" s="189">
        <f t="shared" si="66"/>
        <v>85233.885679040002</v>
      </c>
      <c r="AE79" s="189">
        <f t="shared" si="67"/>
        <v>69596.540505698111</v>
      </c>
      <c r="AF79" s="189">
        <f t="shared" si="67"/>
        <v>54258</v>
      </c>
      <c r="AG79" s="189">
        <f t="shared" si="68"/>
        <v>88314.530968619103</v>
      </c>
      <c r="AH79" s="189">
        <f t="shared" si="68"/>
        <v>72452.155268240007</v>
      </c>
      <c r="AI79" s="206">
        <f t="shared" si="69"/>
        <v>7411.1194943018927</v>
      </c>
      <c r="AJ79" s="206">
        <f t="shared" si="69"/>
        <v>10086</v>
      </c>
      <c r="AK79" s="189">
        <f t="shared" si="69"/>
        <v>10269.522630761494</v>
      </c>
      <c r="AL79" s="189">
        <f t="shared" si="69"/>
        <v>12781.730410799995</v>
      </c>
      <c r="AM79" s="219">
        <f t="shared" si="64"/>
        <v>0.10648689490097742</v>
      </c>
      <c r="AN79" s="214">
        <f t="shared" si="64"/>
        <v>0.18588963839433817</v>
      </c>
      <c r="AO79" s="214">
        <f t="shared" si="64"/>
        <v>0.11628349851521687</v>
      </c>
      <c r="AP79" s="214">
        <f t="shared" si="64"/>
        <v>0.1764161516448769</v>
      </c>
    </row>
    <row r="80" spans="1:55" ht="15" customHeight="1" x14ac:dyDescent="0.25">
      <c r="A80" s="15">
        <v>408</v>
      </c>
      <c r="B80" s="56" t="s">
        <v>87</v>
      </c>
      <c r="C80" s="285">
        <v>13</v>
      </c>
      <c r="D80" s="286">
        <v>75700</v>
      </c>
      <c r="E80" s="287">
        <v>58266</v>
      </c>
      <c r="F80" s="287">
        <v>-17434</v>
      </c>
      <c r="G80" s="133">
        <f t="shared" si="62"/>
        <v>-0.29921394981635946</v>
      </c>
      <c r="H80" s="276">
        <v>98172.03556083201</v>
      </c>
      <c r="I80" s="275">
        <v>78386.039148559998</v>
      </c>
      <c r="J80" s="287">
        <v>-19785.996412272012</v>
      </c>
      <c r="K80" s="133">
        <f t="shared" si="63"/>
        <v>-0.2524173517017857</v>
      </c>
      <c r="N80" s="164" t="s">
        <v>87</v>
      </c>
      <c r="O80" s="288">
        <v>15</v>
      </c>
      <c r="P80" s="289">
        <v>70399</v>
      </c>
      <c r="Q80" s="290">
        <v>54258</v>
      </c>
      <c r="R80" s="290">
        <v>-16141</v>
      </c>
      <c r="S80" s="181">
        <v>-0.29748608500129015</v>
      </c>
      <c r="T80" s="291">
        <v>90416.784376521231</v>
      </c>
      <c r="U80" s="277">
        <v>72452.155268240007</v>
      </c>
      <c r="V80" s="290">
        <v>-17964.629108281224</v>
      </c>
      <c r="W80" s="182">
        <v>-0.24795161775064772</v>
      </c>
      <c r="Z80" s="292" t="s">
        <v>87</v>
      </c>
      <c r="AA80" s="189">
        <f t="shared" si="65"/>
        <v>75700</v>
      </c>
      <c r="AB80" s="189">
        <f t="shared" si="65"/>
        <v>58266</v>
      </c>
      <c r="AC80" s="189">
        <f t="shared" si="66"/>
        <v>98172.03556083201</v>
      </c>
      <c r="AD80" s="189">
        <f t="shared" si="66"/>
        <v>78386.039148559998</v>
      </c>
      <c r="AE80" s="189">
        <f t="shared" si="67"/>
        <v>70399</v>
      </c>
      <c r="AF80" s="189">
        <f t="shared" si="67"/>
        <v>54258</v>
      </c>
      <c r="AG80" s="189">
        <f t="shared" si="68"/>
        <v>90416.784376521231</v>
      </c>
      <c r="AH80" s="189">
        <f t="shared" si="68"/>
        <v>72452.155268240007</v>
      </c>
      <c r="AI80" s="206">
        <f t="shared" si="69"/>
        <v>5301</v>
      </c>
      <c r="AJ80" s="206">
        <f t="shared" si="69"/>
        <v>4008</v>
      </c>
      <c r="AK80" s="189">
        <f t="shared" si="69"/>
        <v>7755.2511843107786</v>
      </c>
      <c r="AL80" s="189">
        <f t="shared" si="69"/>
        <v>5933.8838803199906</v>
      </c>
      <c r="AM80" s="219">
        <f t="shared" si="64"/>
        <v>7.529936504779898E-2</v>
      </c>
      <c r="AN80" s="214">
        <f t="shared" si="64"/>
        <v>7.3869291164436579E-2</v>
      </c>
      <c r="AO80" s="214">
        <f t="shared" si="64"/>
        <v>8.5772251665307012E-2</v>
      </c>
      <c r="AP80" s="214">
        <f t="shared" si="64"/>
        <v>8.1900722736969522E-2</v>
      </c>
    </row>
    <row r="81" spans="1:55" ht="15.75" x14ac:dyDescent="0.25">
      <c r="A81" s="15">
        <v>409</v>
      </c>
      <c r="B81" s="56" t="s">
        <v>88</v>
      </c>
      <c r="C81" s="285">
        <v>24</v>
      </c>
      <c r="D81" s="286">
        <v>69098.399999999994</v>
      </c>
      <c r="E81" s="287">
        <v>59658</v>
      </c>
      <c r="F81" s="287">
        <v>-9440.3999999999942</v>
      </c>
      <c r="G81" s="133">
        <f t="shared" si="62"/>
        <v>-0.15824197928190678</v>
      </c>
      <c r="H81" s="276">
        <v>91913.772812069787</v>
      </c>
      <c r="I81" s="275">
        <v>79954.351483279999</v>
      </c>
      <c r="J81" s="287">
        <v>-11959.421328789787</v>
      </c>
      <c r="K81" s="133">
        <f t="shared" si="63"/>
        <v>-0.1495781168494717</v>
      </c>
      <c r="N81" s="164" t="s">
        <v>88</v>
      </c>
      <c r="O81" s="288">
        <v>22</v>
      </c>
      <c r="P81" s="289">
        <v>63424.050505698106</v>
      </c>
      <c r="Q81" s="290">
        <v>55560</v>
      </c>
      <c r="R81" s="290">
        <v>-7864.0505056981056</v>
      </c>
      <c r="S81" s="181">
        <v>-0.14154158577570383</v>
      </c>
      <c r="T81" s="291">
        <v>84806.149740358727</v>
      </c>
      <c r="U81" s="277">
        <v>73924.485876799998</v>
      </c>
      <c r="V81" s="290">
        <v>-10881.66386355873</v>
      </c>
      <c r="W81" s="182">
        <v>-0.14719972326481562</v>
      </c>
      <c r="Z81" s="292" t="s">
        <v>88</v>
      </c>
      <c r="AA81" s="189">
        <f t="shared" si="65"/>
        <v>69098.399999999994</v>
      </c>
      <c r="AB81" s="189">
        <f t="shared" si="65"/>
        <v>59658</v>
      </c>
      <c r="AC81" s="189">
        <f t="shared" si="66"/>
        <v>91913.772812069787</v>
      </c>
      <c r="AD81" s="189">
        <f t="shared" si="66"/>
        <v>79954.351483279999</v>
      </c>
      <c r="AE81" s="189">
        <f t="shared" si="67"/>
        <v>63424.050505698106</v>
      </c>
      <c r="AF81" s="189">
        <f t="shared" si="67"/>
        <v>55560</v>
      </c>
      <c r="AG81" s="189">
        <f t="shared" si="68"/>
        <v>84806.149740358727</v>
      </c>
      <c r="AH81" s="189">
        <f t="shared" si="68"/>
        <v>73924.485876799998</v>
      </c>
      <c r="AI81" s="206">
        <f t="shared" si="69"/>
        <v>5674.3494943018886</v>
      </c>
      <c r="AJ81" s="206">
        <f t="shared" si="69"/>
        <v>4098</v>
      </c>
      <c r="AK81" s="189">
        <f t="shared" si="69"/>
        <v>7107.6230717110593</v>
      </c>
      <c r="AL81" s="189">
        <f t="shared" si="69"/>
        <v>6029.8656064800016</v>
      </c>
      <c r="AM81" s="219">
        <f t="shared" si="64"/>
        <v>8.9466841821969373E-2</v>
      </c>
      <c r="AN81" s="214">
        <f t="shared" si="64"/>
        <v>7.375809935205184E-2</v>
      </c>
      <c r="AO81" s="214">
        <f t="shared" si="64"/>
        <v>8.3810231846058972E-2</v>
      </c>
      <c r="AP81" s="214">
        <f t="shared" si="64"/>
        <v>8.156790723616486E-2</v>
      </c>
    </row>
    <row r="82" spans="1:55" ht="15" customHeight="1" x14ac:dyDescent="0.25">
      <c r="A82" s="15">
        <v>410</v>
      </c>
      <c r="B82" s="56" t="s">
        <v>89</v>
      </c>
      <c r="C82" s="285">
        <v>11</v>
      </c>
      <c r="D82" s="286">
        <v>70336.747228558961</v>
      </c>
      <c r="E82" s="287">
        <v>58266</v>
      </c>
      <c r="F82" s="287">
        <v>-12070.747228558961</v>
      </c>
      <c r="G82" s="133">
        <f t="shared" si="62"/>
        <v>-0.2071662243599863</v>
      </c>
      <c r="H82" s="276">
        <v>92015.155700864358</v>
      </c>
      <c r="I82" s="275">
        <v>78386.039148559998</v>
      </c>
      <c r="J82" s="287">
        <v>-13629.11655230436</v>
      </c>
      <c r="K82" s="133">
        <f t="shared" si="63"/>
        <v>-0.17387173405297307</v>
      </c>
      <c r="N82" s="164" t="s">
        <v>89</v>
      </c>
      <c r="O82" s="288">
        <v>12</v>
      </c>
      <c r="P82" s="289">
        <v>65684.891024206998</v>
      </c>
      <c r="Q82" s="290">
        <v>54258</v>
      </c>
      <c r="R82" s="290">
        <v>-11426.891024206998</v>
      </c>
      <c r="S82" s="181">
        <v>-0.21060287928428983</v>
      </c>
      <c r="T82" s="291">
        <v>84685.920731834296</v>
      </c>
      <c r="U82" s="277">
        <v>72452.155268240007</v>
      </c>
      <c r="V82" s="290">
        <v>-12233.765463594289</v>
      </c>
      <c r="W82" s="182">
        <v>-0.16885302332692731</v>
      </c>
      <c r="Z82" s="292" t="s">
        <v>89</v>
      </c>
      <c r="AA82" s="189">
        <f t="shared" si="65"/>
        <v>70336.747228558961</v>
      </c>
      <c r="AB82" s="189">
        <f t="shared" si="65"/>
        <v>58266</v>
      </c>
      <c r="AC82" s="189">
        <f t="shared" si="66"/>
        <v>92015.155700864358</v>
      </c>
      <c r="AD82" s="189">
        <f t="shared" si="66"/>
        <v>78386.039148559998</v>
      </c>
      <c r="AE82" s="189">
        <f t="shared" si="67"/>
        <v>65684.891024206998</v>
      </c>
      <c r="AF82" s="189">
        <f t="shared" si="67"/>
        <v>54258</v>
      </c>
      <c r="AG82" s="189">
        <f t="shared" si="68"/>
        <v>84685.920731834296</v>
      </c>
      <c r="AH82" s="189">
        <f t="shared" si="68"/>
        <v>72452.155268240007</v>
      </c>
      <c r="AI82" s="206">
        <f t="shared" si="69"/>
        <v>4651.8562043519632</v>
      </c>
      <c r="AJ82" s="206">
        <f t="shared" si="69"/>
        <v>4008</v>
      </c>
      <c r="AK82" s="189">
        <f t="shared" si="69"/>
        <v>7329.2349690300616</v>
      </c>
      <c r="AL82" s="189">
        <f t="shared" si="69"/>
        <v>5933.8838803199906</v>
      </c>
      <c r="AM82" s="219">
        <f t="shared" si="64"/>
        <v>7.0820795038505954E-2</v>
      </c>
      <c r="AN82" s="214">
        <f t="shared" si="64"/>
        <v>7.3869291164436579E-2</v>
      </c>
      <c r="AO82" s="214">
        <f t="shared" si="64"/>
        <v>8.6546085886445676E-2</v>
      </c>
      <c r="AP82" s="214">
        <f t="shared" si="64"/>
        <v>8.1900722736969522E-2</v>
      </c>
    </row>
    <row r="83" spans="1:55" ht="15" customHeight="1" x14ac:dyDescent="0.25">
      <c r="A83" s="15">
        <v>411</v>
      </c>
      <c r="B83" s="56" t="s">
        <v>90</v>
      </c>
      <c r="C83" s="285">
        <v>20</v>
      </c>
      <c r="D83" s="286">
        <v>74424</v>
      </c>
      <c r="E83" s="287">
        <v>56838</v>
      </c>
      <c r="F83" s="287">
        <v>-17586</v>
      </c>
      <c r="G83" s="133">
        <f t="shared" si="62"/>
        <v>-0.30940567929906049</v>
      </c>
      <c r="H83" s="276">
        <v>95398.520666152006</v>
      </c>
      <c r="I83" s="275">
        <v>76777.167012079997</v>
      </c>
      <c r="J83" s="287">
        <v>-18621.353654072009</v>
      </c>
      <c r="K83" s="133">
        <f t="shared" si="63"/>
        <v>-0.24253764991279445</v>
      </c>
      <c r="N83" s="164" t="s">
        <v>90</v>
      </c>
      <c r="O83" s="288">
        <v>15</v>
      </c>
      <c r="P83" s="289">
        <v>74726.64</v>
      </c>
      <c r="Q83" s="290">
        <v>52926</v>
      </c>
      <c r="R83" s="290">
        <v>-21800.639999999999</v>
      </c>
      <c r="S83" s="181">
        <v>-0.41190794694479083</v>
      </c>
      <c r="T83" s="291">
        <v>92657.431986826792</v>
      </c>
      <c r="U83" s="277">
        <v>70945.899991280006</v>
      </c>
      <c r="V83" s="290">
        <v>-21711.531995546786</v>
      </c>
      <c r="W83" s="182">
        <v>-0.30602941111770182</v>
      </c>
      <c r="Z83" s="292" t="s">
        <v>90</v>
      </c>
      <c r="AA83" s="189">
        <f t="shared" si="65"/>
        <v>74424</v>
      </c>
      <c r="AB83" s="189">
        <f t="shared" si="65"/>
        <v>56838</v>
      </c>
      <c r="AC83" s="189">
        <f t="shared" si="66"/>
        <v>95398.520666152006</v>
      </c>
      <c r="AD83" s="189">
        <f t="shared" si="66"/>
        <v>76777.167012079997</v>
      </c>
      <c r="AE83" s="189">
        <f t="shared" si="67"/>
        <v>74726.64</v>
      </c>
      <c r="AF83" s="189">
        <f t="shared" si="67"/>
        <v>52926</v>
      </c>
      <c r="AG83" s="189">
        <f t="shared" si="68"/>
        <v>92657.431986826792</v>
      </c>
      <c r="AH83" s="189">
        <f t="shared" si="68"/>
        <v>70945.899991280006</v>
      </c>
      <c r="AI83" s="206">
        <f t="shared" si="69"/>
        <v>-302.63999999999942</v>
      </c>
      <c r="AJ83" s="206">
        <f t="shared" si="69"/>
        <v>3912</v>
      </c>
      <c r="AK83" s="189">
        <f t="shared" si="69"/>
        <v>2741.0886793252139</v>
      </c>
      <c r="AL83" s="189">
        <f t="shared" si="69"/>
        <v>5831.2670207999909</v>
      </c>
      <c r="AM83" s="219">
        <f t="shared" si="64"/>
        <v>-4.0499612989423773E-3</v>
      </c>
      <c r="AN83" s="214">
        <f t="shared" si="64"/>
        <v>7.3914522163020066E-2</v>
      </c>
      <c r="AO83" s="214">
        <f t="shared" si="64"/>
        <v>2.9583041754437111E-2</v>
      </c>
      <c r="AP83" s="214">
        <f t="shared" si="64"/>
        <v>8.2193150295037695E-2</v>
      </c>
    </row>
    <row r="84" spans="1:55" ht="15" customHeight="1" x14ac:dyDescent="0.25">
      <c r="A84" s="15">
        <v>412</v>
      </c>
      <c r="B84" s="56" t="s">
        <v>781</v>
      </c>
      <c r="C84" s="285">
        <v>15</v>
      </c>
      <c r="D84" s="286">
        <v>87715.674965686281</v>
      </c>
      <c r="E84" s="287">
        <v>91032</v>
      </c>
      <c r="F84" s="287">
        <v>3316.3250343137188</v>
      </c>
      <c r="G84" s="133">
        <f t="shared" si="62"/>
        <v>3.6430321582671135E-2</v>
      </c>
      <c r="H84" s="276">
        <v>112743.59885316927</v>
      </c>
      <c r="I84" s="275">
        <v>115302.21871712001</v>
      </c>
      <c r="J84" s="287">
        <v>2558.6198639507347</v>
      </c>
      <c r="K84" s="133">
        <f t="shared" si="63"/>
        <v>2.2190551859439911E-2</v>
      </c>
      <c r="N84" s="164" t="s">
        <v>781</v>
      </c>
      <c r="O84" s="288" t="str">
        <f>"-"</f>
        <v>-</v>
      </c>
      <c r="P84" s="289" t="s">
        <v>684</v>
      </c>
      <c r="Q84" s="290" t="s">
        <v>684</v>
      </c>
      <c r="R84" s="290" t="s">
        <v>484</v>
      </c>
      <c r="S84" s="181" t="s">
        <v>484</v>
      </c>
      <c r="T84" s="291" t="s">
        <v>684</v>
      </c>
      <c r="U84" s="277" t="s">
        <v>684</v>
      </c>
      <c r="V84" s="290" t="s">
        <v>484</v>
      </c>
      <c r="W84" s="182" t="s">
        <v>484</v>
      </c>
      <c r="Z84" s="164" t="s">
        <v>781</v>
      </c>
      <c r="AA84" s="189" t="str">
        <f t="shared" ref="AA84" si="70">IF($D84="-","-",IF($P84="-","-",D84))</f>
        <v>-</v>
      </c>
      <c r="AB84" s="189" t="str">
        <f t="shared" ref="AB84" si="71">IF($D84="-","-",IF($P84="-","-",E84))</f>
        <v>-</v>
      </c>
      <c r="AC84" s="189" t="str">
        <f t="shared" ref="AC84" si="72">IF($D84="-","-",IF($P84="-","-",H84))</f>
        <v>-</v>
      </c>
      <c r="AD84" s="189" t="str">
        <f t="shared" ref="AD84" si="73">IF($D84="-","-",IF($P84="-","-",I84))</f>
        <v>-</v>
      </c>
      <c r="AE84" s="189" t="str">
        <f t="shared" ref="AE84" si="74">IF($D84="-","-",IF($P84="-","-",P84))</f>
        <v>-</v>
      </c>
      <c r="AF84" s="189" t="str">
        <f t="shared" ref="AF84" si="75">IF($D84="-","-",IF($P84="-","-",Q84))</f>
        <v>-</v>
      </c>
      <c r="AG84" s="189" t="str">
        <f t="shared" ref="AG84" si="76">IF($D84="-","-",IF($P84="-","-",T84))</f>
        <v>-</v>
      </c>
      <c r="AH84" s="189" t="str">
        <f t="shared" ref="AH84" si="77">IF($D84="-","-",IF($P84="-","-",U84))</f>
        <v>-</v>
      </c>
      <c r="AI84" s="206" t="str">
        <f t="shared" ref="AI84" si="78">IFERROR(AA84-AE84,"-")</f>
        <v>-</v>
      </c>
      <c r="AJ84" s="206" t="str">
        <f t="shared" ref="AJ84" si="79">IFERROR(AB84-AF84,"-")</f>
        <v>-</v>
      </c>
      <c r="AK84" s="189" t="str">
        <f t="shared" ref="AK84" si="80">IFERROR(AC84-AG84,"-")</f>
        <v>-</v>
      </c>
      <c r="AL84" s="189" t="str">
        <f t="shared" ref="AL84" si="81">IFERROR(AD84-AH84,"-")</f>
        <v>-</v>
      </c>
      <c r="AM84" s="219" t="str">
        <f t="shared" ref="AM84" si="82">IFERROR(AI84/AE84,"-")</f>
        <v>-</v>
      </c>
      <c r="AN84" s="214" t="str">
        <f t="shared" ref="AN84" si="83">IFERROR(AJ84/AF84,"-")</f>
        <v>-</v>
      </c>
      <c r="AO84" s="214" t="str">
        <f t="shared" ref="AO84" si="84">IFERROR(AK84/AG84,"-")</f>
        <v>-</v>
      </c>
      <c r="AP84" s="214" t="str">
        <f t="shared" ref="AP84" si="85">IFERROR(AL84/AH84,"-")</f>
        <v>-</v>
      </c>
      <c r="AQ84" s="14"/>
      <c r="AR84" s="14"/>
      <c r="AS84" s="14"/>
      <c r="AT84" s="14"/>
      <c r="AU84" s="14"/>
      <c r="AV84" s="14"/>
      <c r="AW84" s="14"/>
      <c r="AX84" s="14"/>
      <c r="AY84" s="14"/>
      <c r="AZ84" s="14"/>
      <c r="BA84" s="14"/>
      <c r="BB84" s="14"/>
      <c r="BC84" s="14"/>
    </row>
    <row r="85" spans="1:55" ht="15" customHeight="1" x14ac:dyDescent="0.25">
      <c r="A85" s="14"/>
      <c r="B85" s="62" t="s">
        <v>680</v>
      </c>
      <c r="C85" s="63"/>
      <c r="D85" s="124">
        <v>79264.765507097763</v>
      </c>
      <c r="E85" s="124">
        <v>62806</v>
      </c>
      <c r="F85" s="124">
        <v>-16458.765507097763</v>
      </c>
      <c r="G85" s="125">
        <f>IFERROR(F85/E85,"--")</f>
        <v>-0.26205721598410603</v>
      </c>
      <c r="H85" s="126">
        <v>101954.01044954312</v>
      </c>
      <c r="I85" s="127">
        <v>83501.080814959991</v>
      </c>
      <c r="J85" s="124">
        <v>-18452.929634583124</v>
      </c>
      <c r="K85" s="125">
        <f t="shared" si="63"/>
        <v>-0.22099030880181267</v>
      </c>
      <c r="N85" s="183" t="s">
        <v>680</v>
      </c>
      <c r="O85" s="184"/>
      <c r="P85" s="185">
        <v>72719.796662327557</v>
      </c>
      <c r="Q85" s="185">
        <v>55068</v>
      </c>
      <c r="R85" s="185">
        <v>-17651.796662327557</v>
      </c>
      <c r="S85" s="186">
        <v>-0.32054544676268537</v>
      </c>
      <c r="T85" s="201">
        <v>93022.101408325281</v>
      </c>
      <c r="U85" s="187">
        <v>73368.121315040014</v>
      </c>
      <c r="V85" s="185">
        <v>-19653.980093285267</v>
      </c>
      <c r="W85" s="188">
        <v>-0.2678817412932219</v>
      </c>
      <c r="Z85" s="209" t="s">
        <v>680</v>
      </c>
      <c r="AA85" s="212">
        <f>AVERAGE(AA73:AA84)</f>
        <v>78496.501010862441</v>
      </c>
      <c r="AB85" s="212">
        <f t="shared" ref="AB85:AH85" si="86">AVERAGE(AB73:AB84)</f>
        <v>60240</v>
      </c>
      <c r="AC85" s="212">
        <f t="shared" si="86"/>
        <v>100973.13877648619</v>
      </c>
      <c r="AD85" s="212">
        <f t="shared" si="86"/>
        <v>80610.068278399995</v>
      </c>
      <c r="AE85" s="212">
        <f t="shared" si="86"/>
        <v>72719.796662327557</v>
      </c>
      <c r="AF85" s="212">
        <f t="shared" si="86"/>
        <v>55068</v>
      </c>
      <c r="AG85" s="212">
        <f t="shared" si="86"/>
        <v>93022.101408325281</v>
      </c>
      <c r="AH85" s="212">
        <f t="shared" si="86"/>
        <v>73368.121315040014</v>
      </c>
      <c r="AI85" s="210">
        <f t="shared" si="69"/>
        <v>5776.704348534884</v>
      </c>
      <c r="AJ85" s="210">
        <f t="shared" si="69"/>
        <v>5172</v>
      </c>
      <c r="AK85" s="204">
        <f t="shared" si="69"/>
        <v>7951.0373681609053</v>
      </c>
      <c r="AL85" s="204">
        <f t="shared" si="69"/>
        <v>7241.9469633599801</v>
      </c>
      <c r="AM85" s="220">
        <f t="shared" ref="AM85:AP85" si="87">AI85/AE85</f>
        <v>7.9437850677152699E-2</v>
      </c>
      <c r="AN85" s="215">
        <f t="shared" si="87"/>
        <v>9.392024406188712E-2</v>
      </c>
      <c r="AO85" s="215">
        <f t="shared" si="87"/>
        <v>8.5474712436987635E-2</v>
      </c>
      <c r="AP85" s="215">
        <f t="shared" si="87"/>
        <v>9.870699744734264E-2</v>
      </c>
    </row>
    <row r="86" spans="1:55" ht="15" customHeight="1" x14ac:dyDescent="0.25">
      <c r="C86" s="306"/>
      <c r="D86" s="307"/>
      <c r="E86" s="307"/>
      <c r="F86" s="307"/>
      <c r="G86" s="307"/>
      <c r="H86" s="307"/>
      <c r="I86" s="307"/>
      <c r="J86" s="307"/>
      <c r="K86" s="307"/>
      <c r="O86" s="262"/>
      <c r="P86" s="263"/>
      <c r="Q86" s="263"/>
      <c r="R86" s="263"/>
      <c r="S86" s="263"/>
      <c r="T86" s="263"/>
      <c r="U86" s="263"/>
      <c r="V86" s="263"/>
      <c r="W86" s="263"/>
      <c r="AI86" s="158"/>
      <c r="AJ86" s="158"/>
      <c r="AK86" s="159"/>
      <c r="AL86" s="159"/>
      <c r="AM86" s="159"/>
      <c r="AN86" s="159"/>
      <c r="AO86" s="159"/>
      <c r="AP86" s="159"/>
    </row>
    <row r="87" spans="1:55" s="14" customFormat="1" ht="15" customHeight="1" x14ac:dyDescent="0.25">
      <c r="A87"/>
      <c r="B87"/>
      <c r="C87" s="306"/>
      <c r="D87" s="307"/>
      <c r="E87" s="307"/>
      <c r="F87" s="307"/>
      <c r="G87" s="307"/>
      <c r="H87" s="307"/>
      <c r="I87" s="307"/>
      <c r="J87" s="307"/>
      <c r="K87" s="307"/>
      <c r="L87"/>
      <c r="N87"/>
      <c r="O87" s="262"/>
      <c r="P87" s="263"/>
      <c r="Q87" s="263"/>
      <c r="R87" s="263"/>
      <c r="S87" s="263"/>
      <c r="T87" s="263"/>
      <c r="U87" s="263"/>
      <c r="V87" s="263"/>
      <c r="W87" s="263"/>
      <c r="Z87"/>
      <c r="AA87" s="528"/>
      <c r="AB87" s="47"/>
      <c r="AC87" s="47"/>
      <c r="AD87" s="47"/>
      <c r="AE87" s="47"/>
      <c r="AF87" s="47"/>
      <c r="AG87" s="47"/>
      <c r="AH87" s="47"/>
      <c r="AI87" s="156" t="s">
        <v>926</v>
      </c>
      <c r="AJ87" s="158"/>
      <c r="AK87" s="159"/>
      <c r="AL87" s="159"/>
      <c r="AM87" s="156" t="s">
        <v>927</v>
      </c>
      <c r="AN87" s="157"/>
      <c r="AO87" s="157"/>
      <c r="AP87" s="157"/>
      <c r="AQ87"/>
      <c r="AR87"/>
      <c r="AS87"/>
      <c r="AT87"/>
      <c r="AU87"/>
      <c r="AV87"/>
      <c r="AW87"/>
      <c r="AX87"/>
      <c r="AY87"/>
      <c r="AZ87"/>
      <c r="BA87"/>
      <c r="BB87"/>
      <c r="BC87"/>
    </row>
    <row r="88" spans="1:55" ht="15" customHeight="1" x14ac:dyDescent="0.25">
      <c r="B88" s="110" t="s">
        <v>681</v>
      </c>
      <c r="C88" s="302" t="s">
        <v>765</v>
      </c>
      <c r="D88" s="303"/>
      <c r="E88" s="303"/>
      <c r="F88" s="304"/>
      <c r="G88" s="303"/>
      <c r="H88" s="303" t="s">
        <v>435</v>
      </c>
      <c r="I88" s="303"/>
      <c r="J88" s="303"/>
      <c r="K88" s="305"/>
      <c r="N88" s="293"/>
      <c r="O88" s="297" t="s">
        <v>693</v>
      </c>
      <c r="P88" s="296"/>
      <c r="Q88" s="296"/>
      <c r="R88" s="296"/>
      <c r="S88" s="296"/>
      <c r="T88" s="296" t="s">
        <v>700</v>
      </c>
      <c r="U88" s="296"/>
      <c r="V88" s="296"/>
      <c r="W88" s="296"/>
      <c r="Z88" t="s">
        <v>681</v>
      </c>
      <c r="AA88" s="156" t="s">
        <v>691</v>
      </c>
      <c r="AB88" s="526"/>
      <c r="AC88" s="526"/>
      <c r="AD88" s="526"/>
      <c r="AE88" s="526"/>
      <c r="AF88" s="526"/>
      <c r="AG88" s="526"/>
      <c r="AH88" s="526"/>
      <c r="AI88" s="526" t="s">
        <v>693</v>
      </c>
      <c r="AJ88" s="526"/>
      <c r="AK88" s="526" t="s">
        <v>700</v>
      </c>
      <c r="AL88" s="526"/>
      <c r="AM88" s="526" t="s">
        <v>693</v>
      </c>
      <c r="AN88" s="526"/>
      <c r="AO88" s="526" t="s">
        <v>700</v>
      </c>
      <c r="AP88" s="526"/>
    </row>
    <row r="89" spans="1:55" ht="15" customHeight="1" x14ac:dyDescent="0.25">
      <c r="B89" s="111" t="s">
        <v>679</v>
      </c>
      <c r="C89" s="113" t="s">
        <v>935</v>
      </c>
      <c r="D89" s="112" t="s">
        <v>733</v>
      </c>
      <c r="E89" s="130" t="s">
        <v>934</v>
      </c>
      <c r="F89" s="130" t="s">
        <v>936</v>
      </c>
      <c r="G89" s="130" t="s">
        <v>734</v>
      </c>
      <c r="H89" s="131" t="s">
        <v>733</v>
      </c>
      <c r="I89" s="130" t="s">
        <v>934</v>
      </c>
      <c r="J89" s="130" t="s">
        <v>936</v>
      </c>
      <c r="K89" s="132" t="s">
        <v>735</v>
      </c>
      <c r="N89" s="160" t="s">
        <v>679</v>
      </c>
      <c r="O89" s="161" t="s">
        <v>697</v>
      </c>
      <c r="P89" s="161" t="s">
        <v>733</v>
      </c>
      <c r="Q89" s="162" t="s">
        <v>698</v>
      </c>
      <c r="R89" s="162" t="s">
        <v>699</v>
      </c>
      <c r="S89" s="162" t="s">
        <v>734</v>
      </c>
      <c r="T89" s="200" t="s">
        <v>733</v>
      </c>
      <c r="U89" s="162" t="s">
        <v>698</v>
      </c>
      <c r="V89" s="162" t="s">
        <v>699</v>
      </c>
      <c r="W89" s="163" t="s">
        <v>735</v>
      </c>
      <c r="Z89" s="205" t="s">
        <v>679</v>
      </c>
      <c r="AA89" s="271" t="s">
        <v>922</v>
      </c>
      <c r="AB89" s="271" t="s">
        <v>923</v>
      </c>
      <c r="AC89" s="271" t="s">
        <v>924</v>
      </c>
      <c r="AD89" s="271" t="s">
        <v>925</v>
      </c>
      <c r="AE89" s="272" t="s">
        <v>928</v>
      </c>
      <c r="AF89" s="272" t="s">
        <v>929</v>
      </c>
      <c r="AG89" s="272" t="s">
        <v>930</v>
      </c>
      <c r="AH89" s="272" t="s">
        <v>931</v>
      </c>
      <c r="AI89" s="273" t="s">
        <v>687</v>
      </c>
      <c r="AJ89" s="273" t="s">
        <v>688</v>
      </c>
      <c r="AK89" s="273" t="s">
        <v>689</v>
      </c>
      <c r="AL89" s="273" t="s">
        <v>690</v>
      </c>
      <c r="AM89" s="218" t="s">
        <v>687</v>
      </c>
      <c r="AN89" s="273" t="s">
        <v>688</v>
      </c>
      <c r="AO89" s="273" t="s">
        <v>689</v>
      </c>
      <c r="AP89" s="273" t="s">
        <v>690</v>
      </c>
    </row>
    <row r="90" spans="1:55" ht="15.75" x14ac:dyDescent="0.25">
      <c r="A90" s="15">
        <v>500</v>
      </c>
      <c r="B90" s="56" t="s">
        <v>91</v>
      </c>
      <c r="C90" s="285">
        <v>7</v>
      </c>
      <c r="D90" s="286">
        <v>71237.8067987744</v>
      </c>
      <c r="E90" s="287">
        <v>77082</v>
      </c>
      <c r="F90" s="287">
        <v>5844.1932012256002</v>
      </c>
      <c r="G90" s="133">
        <f t="shared" ref="G90:G95" si="88">IFERROR(F90/E90,"--")</f>
        <v>7.5817871892602681E-2</v>
      </c>
      <c r="H90" s="276">
        <v>92114.028941910918</v>
      </c>
      <c r="I90" s="275">
        <v>99585.295535120007</v>
      </c>
      <c r="J90" s="287">
        <v>7471.2665932090895</v>
      </c>
      <c r="K90" s="133">
        <f t="shared" ref="K90:K95" si="89">IFERROR(J90/I90,"--")</f>
        <v>7.5023792951181764E-2</v>
      </c>
      <c r="N90" s="164" t="s">
        <v>91</v>
      </c>
      <c r="O90" s="288">
        <v>6</v>
      </c>
      <c r="P90" s="289">
        <v>66657.213333333333</v>
      </c>
      <c r="Q90" s="290">
        <v>71784</v>
      </c>
      <c r="R90" s="290">
        <v>5126.7866666666669</v>
      </c>
      <c r="S90" s="181">
        <v>7.1419629258144809E-2</v>
      </c>
      <c r="T90" s="291">
        <v>86716.667392020841</v>
      </c>
      <c r="U90" s="277">
        <v>92270.946547519998</v>
      </c>
      <c r="V90" s="290">
        <v>5554.2791554991563</v>
      </c>
      <c r="W90" s="182">
        <v>6.01953200148291E-2</v>
      </c>
      <c r="Z90" s="292" t="s">
        <v>91</v>
      </c>
      <c r="AA90" s="189">
        <f t="shared" ref="AA90:AB94" si="90">IF($D90="-","-",IF($P90="-","-",D90))</f>
        <v>71237.8067987744</v>
      </c>
      <c r="AB90" s="189">
        <f t="shared" si="90"/>
        <v>77082</v>
      </c>
      <c r="AC90" s="189">
        <f t="shared" ref="AC90:AD94" si="91">IF($D90="-","-",IF($P90="-","-",H90))</f>
        <v>92114.028941910918</v>
      </c>
      <c r="AD90" s="189">
        <f t="shared" si="91"/>
        <v>99585.295535120007</v>
      </c>
      <c r="AE90" s="189">
        <f t="shared" ref="AE90:AF94" si="92">IF($D90="-","-",IF($P90="-","-",P90))</f>
        <v>66657.213333333333</v>
      </c>
      <c r="AF90" s="189">
        <f t="shared" si="92"/>
        <v>71784</v>
      </c>
      <c r="AG90" s="189">
        <f t="shared" ref="AG90:AH94" si="93">IF($D90="-","-",IF($P90="-","-",T90))</f>
        <v>86716.667392020841</v>
      </c>
      <c r="AH90" s="189">
        <f t="shared" si="93"/>
        <v>92270.946547519998</v>
      </c>
      <c r="AI90" s="206">
        <f>IFERROR(AA90-AE90,"-")</f>
        <v>4580.5934654410667</v>
      </c>
      <c r="AJ90" s="206">
        <f>IFERROR(AB90-AF90,"-")</f>
        <v>5298</v>
      </c>
      <c r="AK90" s="189">
        <f>IFERROR(AC90-AG90,"-")</f>
        <v>5397.3615498900763</v>
      </c>
      <c r="AL90" s="189">
        <f>IFERROR(AD90-AH90,"-")</f>
        <v>7314.3489876000094</v>
      </c>
      <c r="AM90" s="219">
        <f t="shared" ref="AM90:AP94" si="94">IFERROR(AI90/AE90,"-")</f>
        <v>6.871864628565931E-2</v>
      </c>
      <c r="AN90" s="214">
        <f t="shared" si="94"/>
        <v>7.3804747576061522E-2</v>
      </c>
      <c r="AO90" s="214">
        <f t="shared" si="94"/>
        <v>6.2241339666458513E-2</v>
      </c>
      <c r="AP90" s="214">
        <f t="shared" si="94"/>
        <v>7.9270336560740534E-2</v>
      </c>
    </row>
    <row r="91" spans="1:55" ht="15" customHeight="1" x14ac:dyDescent="0.25">
      <c r="A91" s="15">
        <v>501</v>
      </c>
      <c r="B91" s="56" t="s">
        <v>92</v>
      </c>
      <c r="C91" s="285">
        <v>9</v>
      </c>
      <c r="D91" s="286">
        <v>48355.664847760891</v>
      </c>
      <c r="E91" s="287">
        <v>46074</v>
      </c>
      <c r="F91" s="287">
        <v>-2281.6648477608906</v>
      </c>
      <c r="G91" s="133">
        <f t="shared" si="88"/>
        <v>-4.9521744319158102E-2</v>
      </c>
      <c r="H91" s="276">
        <v>67529.499948129509</v>
      </c>
      <c r="I91" s="275">
        <v>64649.786285840004</v>
      </c>
      <c r="J91" s="287">
        <v>-2879.713662289505</v>
      </c>
      <c r="K91" s="133">
        <f t="shared" si="89"/>
        <v>-4.4543282008037165E-2</v>
      </c>
      <c r="N91" s="164" t="s">
        <v>92</v>
      </c>
      <c r="O91" s="288">
        <v>10</v>
      </c>
      <c r="P91" s="289">
        <v>42502.761530912656</v>
      </c>
      <c r="Q91" s="290">
        <v>42900</v>
      </c>
      <c r="R91" s="290">
        <v>397.23846908734413</v>
      </c>
      <c r="S91" s="181">
        <v>9.259637974063966E-3</v>
      </c>
      <c r="T91" s="291">
        <v>59727.167334222409</v>
      </c>
      <c r="U91" s="277">
        <v>59608.275812</v>
      </c>
      <c r="V91" s="290">
        <v>-118.89152222240955</v>
      </c>
      <c r="W91" s="182">
        <v>-1.9945472436979127E-3</v>
      </c>
      <c r="Z91" s="292" t="s">
        <v>92</v>
      </c>
      <c r="AA91" s="189">
        <f t="shared" si="90"/>
        <v>48355.664847760891</v>
      </c>
      <c r="AB91" s="189">
        <f t="shared" si="90"/>
        <v>46074</v>
      </c>
      <c r="AC91" s="189">
        <f t="shared" si="91"/>
        <v>67529.499948129509</v>
      </c>
      <c r="AD91" s="189">
        <f t="shared" si="91"/>
        <v>64649.786285840004</v>
      </c>
      <c r="AE91" s="189">
        <f t="shared" si="92"/>
        <v>42502.761530912656</v>
      </c>
      <c r="AF91" s="189">
        <f t="shared" si="92"/>
        <v>42900</v>
      </c>
      <c r="AG91" s="189">
        <f t="shared" si="93"/>
        <v>59727.167334222409</v>
      </c>
      <c r="AH91" s="189">
        <f t="shared" si="93"/>
        <v>59608.275812</v>
      </c>
      <c r="AI91" s="206">
        <f t="shared" ref="AI91:AL95" si="95">IFERROR(AA91-AE91,"-")</f>
        <v>5852.9033168482347</v>
      </c>
      <c r="AJ91" s="206">
        <f t="shared" si="95"/>
        <v>3174</v>
      </c>
      <c r="AK91" s="189">
        <f t="shared" si="95"/>
        <v>7802.3326139070996</v>
      </c>
      <c r="AL91" s="189">
        <f t="shared" si="95"/>
        <v>5041.5104738400041</v>
      </c>
      <c r="AM91" s="219">
        <f t="shared" si="94"/>
        <v>0.1377064243835395</v>
      </c>
      <c r="AN91" s="214">
        <f t="shared" si="94"/>
        <v>7.3986013986013982E-2</v>
      </c>
      <c r="AO91" s="214">
        <f t="shared" si="94"/>
        <v>0.13063289223556609</v>
      </c>
      <c r="AP91" s="214">
        <f t="shared" si="94"/>
        <v>8.4577357844413212E-2</v>
      </c>
    </row>
    <row r="92" spans="1:55" ht="15" customHeight="1" x14ac:dyDescent="0.25">
      <c r="A92" s="15">
        <v>502</v>
      </c>
      <c r="B92" s="56" t="s">
        <v>93</v>
      </c>
      <c r="C92" s="285">
        <v>8</v>
      </c>
      <c r="D92" s="286">
        <v>57702.210121159078</v>
      </c>
      <c r="E92" s="287">
        <v>49560</v>
      </c>
      <c r="F92" s="287">
        <v>-8142.210121159078</v>
      </c>
      <c r="G92" s="133">
        <f t="shared" si="88"/>
        <v>-0.16428995401854476</v>
      </c>
      <c r="H92" s="276">
        <v>75664.087575159079</v>
      </c>
      <c r="I92" s="275">
        <v>68577.327089600003</v>
      </c>
      <c r="J92" s="287">
        <v>-7086.7604855590762</v>
      </c>
      <c r="K92" s="133">
        <f t="shared" si="89"/>
        <v>-0.10333970112745629</v>
      </c>
      <c r="N92" s="164" t="s">
        <v>93</v>
      </c>
      <c r="O92" s="288">
        <v>7</v>
      </c>
      <c r="P92" s="289">
        <v>46327.600000000006</v>
      </c>
      <c r="Q92" s="290">
        <v>46152</v>
      </c>
      <c r="R92" s="290">
        <v>-175.60000000000582</v>
      </c>
      <c r="S92" s="181">
        <v>-3.8048188594211698E-3</v>
      </c>
      <c r="T92" s="291">
        <v>59132.760000000009</v>
      </c>
      <c r="U92" s="277">
        <v>63285.709866559999</v>
      </c>
      <c r="V92" s="290">
        <v>4152.9498665599895</v>
      </c>
      <c r="W92" s="182">
        <v>6.5622237236757253E-2</v>
      </c>
      <c r="Z92" s="292" t="s">
        <v>93</v>
      </c>
      <c r="AA92" s="189">
        <f t="shared" si="90"/>
        <v>57702.210121159078</v>
      </c>
      <c r="AB92" s="189">
        <f t="shared" si="90"/>
        <v>49560</v>
      </c>
      <c r="AC92" s="189">
        <f t="shared" si="91"/>
        <v>75664.087575159079</v>
      </c>
      <c r="AD92" s="189">
        <f t="shared" si="91"/>
        <v>68577.327089600003</v>
      </c>
      <c r="AE92" s="189">
        <f t="shared" si="92"/>
        <v>46327.600000000006</v>
      </c>
      <c r="AF92" s="189">
        <f t="shared" si="92"/>
        <v>46152</v>
      </c>
      <c r="AG92" s="189">
        <f t="shared" si="93"/>
        <v>59132.760000000009</v>
      </c>
      <c r="AH92" s="189">
        <f t="shared" si="93"/>
        <v>63285.709866559999</v>
      </c>
      <c r="AI92" s="206">
        <f t="shared" si="95"/>
        <v>11374.610121159072</v>
      </c>
      <c r="AJ92" s="206">
        <f t="shared" si="95"/>
        <v>3408</v>
      </c>
      <c r="AK92" s="189">
        <f t="shared" si="95"/>
        <v>16531.32757515907</v>
      </c>
      <c r="AL92" s="189">
        <f t="shared" si="95"/>
        <v>5291.6172230400043</v>
      </c>
      <c r="AM92" s="219">
        <f t="shared" si="94"/>
        <v>0.24552556405164677</v>
      </c>
      <c r="AN92" s="214">
        <f t="shared" si="94"/>
        <v>7.3842953718148724E-2</v>
      </c>
      <c r="AO92" s="214">
        <f t="shared" si="94"/>
        <v>0.27956292882590067</v>
      </c>
      <c r="AP92" s="214">
        <f t="shared" si="94"/>
        <v>8.3614724938656029E-2</v>
      </c>
    </row>
    <row r="93" spans="1:55" ht="15" customHeight="1" x14ac:dyDescent="0.25">
      <c r="A93" s="15">
        <v>503</v>
      </c>
      <c r="B93" s="56" t="s">
        <v>94</v>
      </c>
      <c r="C93" s="285">
        <v>10</v>
      </c>
      <c r="D93" s="286">
        <v>66075.991525423728</v>
      </c>
      <c r="E93" s="287">
        <v>55890</v>
      </c>
      <c r="F93" s="287">
        <v>-10185.991525423728</v>
      </c>
      <c r="G93" s="133">
        <f t="shared" si="88"/>
        <v>-0.1822506982541372</v>
      </c>
      <c r="H93" s="276">
        <v>84389.051656076976</v>
      </c>
      <c r="I93" s="275">
        <v>75709.092232399998</v>
      </c>
      <c r="J93" s="287">
        <v>-8679.9594236769772</v>
      </c>
      <c r="K93" s="133">
        <f t="shared" si="89"/>
        <v>-0.11464883764598031</v>
      </c>
      <c r="N93" s="164" t="s">
        <v>94</v>
      </c>
      <c r="O93" s="288">
        <v>11</v>
      </c>
      <c r="P93" s="289">
        <v>72523.569340463451</v>
      </c>
      <c r="Q93" s="290">
        <v>49638</v>
      </c>
      <c r="R93" s="290">
        <v>-22885.569340463451</v>
      </c>
      <c r="S93" s="181">
        <v>-0.46104938435197734</v>
      </c>
      <c r="T93" s="291">
        <v>93113.028968993429</v>
      </c>
      <c r="U93" s="277">
        <v>67227.756334639998</v>
      </c>
      <c r="V93" s="290">
        <v>-25885.27263435343</v>
      </c>
      <c r="W93" s="182">
        <v>-0.38503847288170912</v>
      </c>
      <c r="Z93" s="292" t="s">
        <v>94</v>
      </c>
      <c r="AA93" s="189">
        <f t="shared" si="90"/>
        <v>66075.991525423728</v>
      </c>
      <c r="AB93" s="189">
        <f t="shared" si="90"/>
        <v>55890</v>
      </c>
      <c r="AC93" s="189">
        <f t="shared" si="91"/>
        <v>84389.051656076976</v>
      </c>
      <c r="AD93" s="189">
        <f t="shared" si="91"/>
        <v>75709.092232399998</v>
      </c>
      <c r="AE93" s="189">
        <f t="shared" si="92"/>
        <v>72523.569340463451</v>
      </c>
      <c r="AF93" s="189">
        <f t="shared" si="92"/>
        <v>49638</v>
      </c>
      <c r="AG93" s="189">
        <f t="shared" si="93"/>
        <v>93113.028968993429</v>
      </c>
      <c r="AH93" s="189">
        <f t="shared" si="93"/>
        <v>67227.756334639998</v>
      </c>
      <c r="AI93" s="206">
        <f t="shared" si="95"/>
        <v>-6447.5778150397236</v>
      </c>
      <c r="AJ93" s="206">
        <f t="shared" si="95"/>
        <v>6252</v>
      </c>
      <c r="AK93" s="189">
        <f t="shared" si="95"/>
        <v>-8723.9773129164532</v>
      </c>
      <c r="AL93" s="189">
        <f t="shared" si="95"/>
        <v>8481.3358977600001</v>
      </c>
      <c r="AM93" s="219">
        <f t="shared" si="94"/>
        <v>-8.8903205863619744E-2</v>
      </c>
      <c r="AN93" s="214">
        <f t="shared" si="94"/>
        <v>0.12595189169587817</v>
      </c>
      <c r="AO93" s="214">
        <f t="shared" si="94"/>
        <v>-9.3692337254129399E-2</v>
      </c>
      <c r="AP93" s="214">
        <f t="shared" si="94"/>
        <v>0.12615824713147356</v>
      </c>
    </row>
    <row r="94" spans="1:55" ht="15" customHeight="1" x14ac:dyDescent="0.25">
      <c r="A94" s="15">
        <v>505</v>
      </c>
      <c r="B94" s="56" t="s">
        <v>95</v>
      </c>
      <c r="C94" s="285">
        <v>13</v>
      </c>
      <c r="D94" s="286">
        <v>80285.2</v>
      </c>
      <c r="E94" s="287">
        <v>57306</v>
      </c>
      <c r="F94" s="287">
        <v>-22979.199999999997</v>
      </c>
      <c r="G94" s="133">
        <f t="shared" si="88"/>
        <v>-0.40099117020905312</v>
      </c>
      <c r="H94" s="276">
        <v>101901.36768190283</v>
      </c>
      <c r="I94" s="275">
        <v>77304.444434959994</v>
      </c>
      <c r="J94" s="287">
        <v>-24596.923246942839</v>
      </c>
      <c r="K94" s="133">
        <f t="shared" si="89"/>
        <v>-0.31818252400271024</v>
      </c>
      <c r="N94" s="164" t="s">
        <v>95</v>
      </c>
      <c r="O94" s="288">
        <v>13</v>
      </c>
      <c r="P94" s="289">
        <v>73667.399999999994</v>
      </c>
      <c r="Q94" s="290">
        <v>53364</v>
      </c>
      <c r="R94" s="290">
        <v>-20303.399999999994</v>
      </c>
      <c r="S94" s="181">
        <v>-0.38046997976163693</v>
      </c>
      <c r="T94" s="291">
        <v>92165.174203615999</v>
      </c>
      <c r="U94" s="277">
        <v>71441.200149919998</v>
      </c>
      <c r="V94" s="290">
        <v>-20723.974053696002</v>
      </c>
      <c r="W94" s="182">
        <v>-0.29008434922994791</v>
      </c>
      <c r="Z94" s="292" t="s">
        <v>95</v>
      </c>
      <c r="AA94" s="189">
        <f t="shared" si="90"/>
        <v>80285.2</v>
      </c>
      <c r="AB94" s="189">
        <f t="shared" si="90"/>
        <v>57306</v>
      </c>
      <c r="AC94" s="189">
        <f t="shared" si="91"/>
        <v>101901.36768190283</v>
      </c>
      <c r="AD94" s="189">
        <f t="shared" si="91"/>
        <v>77304.444434959994</v>
      </c>
      <c r="AE94" s="189">
        <f t="shared" si="92"/>
        <v>73667.399999999994</v>
      </c>
      <c r="AF94" s="189">
        <f t="shared" si="92"/>
        <v>53364</v>
      </c>
      <c r="AG94" s="189">
        <f t="shared" si="93"/>
        <v>92165.174203615999</v>
      </c>
      <c r="AH94" s="189">
        <f t="shared" si="93"/>
        <v>71441.200149919998</v>
      </c>
      <c r="AI94" s="206">
        <f t="shared" si="95"/>
        <v>6617.8000000000029</v>
      </c>
      <c r="AJ94" s="206">
        <f t="shared" si="95"/>
        <v>3942</v>
      </c>
      <c r="AK94" s="189">
        <f t="shared" si="95"/>
        <v>9736.1934782868339</v>
      </c>
      <c r="AL94" s="189">
        <f t="shared" si="95"/>
        <v>5863.2442850399966</v>
      </c>
      <c r="AM94" s="219">
        <f t="shared" si="94"/>
        <v>8.9833494870186853E-2</v>
      </c>
      <c r="AN94" s="214">
        <f t="shared" si="94"/>
        <v>7.3870024735776932E-2</v>
      </c>
      <c r="AO94" s="214">
        <f t="shared" si="94"/>
        <v>0.10563852954671511</v>
      </c>
      <c r="AP94" s="214">
        <f t="shared" si="94"/>
        <v>8.207090968147128E-2</v>
      </c>
    </row>
    <row r="95" spans="1:55" ht="15" customHeight="1" x14ac:dyDescent="0.25">
      <c r="A95" s="14"/>
      <c r="B95" s="62" t="s">
        <v>680</v>
      </c>
      <c r="C95" s="63"/>
      <c r="D95" s="124">
        <v>64731.374658623616</v>
      </c>
      <c r="E95" s="124">
        <v>57182.400000000001</v>
      </c>
      <c r="F95" s="124">
        <v>-7548.9746586236142</v>
      </c>
      <c r="G95" s="125">
        <f t="shared" si="88"/>
        <v>-0.13201570166036428</v>
      </c>
      <c r="H95" s="126">
        <v>84319.60716063586</v>
      </c>
      <c r="I95" s="127">
        <v>77165.189115584013</v>
      </c>
      <c r="J95" s="124">
        <v>-7154.418045051847</v>
      </c>
      <c r="K95" s="125">
        <f t="shared" si="89"/>
        <v>-9.2715616031672055E-2</v>
      </c>
      <c r="N95" s="183" t="s">
        <v>680</v>
      </c>
      <c r="O95" s="184"/>
      <c r="P95" s="185">
        <v>60335.708840941894</v>
      </c>
      <c r="Q95" s="185">
        <v>52767.6</v>
      </c>
      <c r="R95" s="185">
        <v>-7568.1088409418953</v>
      </c>
      <c r="S95" s="186">
        <v>-0.14342340453122551</v>
      </c>
      <c r="T95" s="201">
        <v>78170.959579770541</v>
      </c>
      <c r="U95" s="187">
        <v>70766.777742128004</v>
      </c>
      <c r="V95" s="185">
        <v>-7404.1818376425363</v>
      </c>
      <c r="W95" s="188">
        <v>-0.10462793522439513</v>
      </c>
      <c r="Z95" s="209" t="s">
        <v>680</v>
      </c>
      <c r="AA95" s="212">
        <f t="shared" ref="AA95:AH95" si="96">AVERAGE(AA90:AA94)</f>
        <v>64731.374658623616</v>
      </c>
      <c r="AB95" s="212">
        <f t="shared" si="96"/>
        <v>57182.400000000001</v>
      </c>
      <c r="AC95" s="212">
        <f t="shared" si="96"/>
        <v>84319.60716063586</v>
      </c>
      <c r="AD95" s="212">
        <f t="shared" si="96"/>
        <v>77165.189115584013</v>
      </c>
      <c r="AE95" s="212">
        <f t="shared" si="96"/>
        <v>60335.708840941894</v>
      </c>
      <c r="AF95" s="212">
        <f t="shared" si="96"/>
        <v>52767.6</v>
      </c>
      <c r="AG95" s="212">
        <f t="shared" si="96"/>
        <v>78170.959579770541</v>
      </c>
      <c r="AH95" s="212">
        <f t="shared" si="96"/>
        <v>70766.777742128004</v>
      </c>
      <c r="AI95" s="210">
        <f t="shared" si="95"/>
        <v>4395.6658176817218</v>
      </c>
      <c r="AJ95" s="210">
        <f t="shared" si="95"/>
        <v>4414.8000000000029</v>
      </c>
      <c r="AK95" s="204">
        <f t="shared" si="95"/>
        <v>6148.6475808653195</v>
      </c>
      <c r="AL95" s="204">
        <f t="shared" si="95"/>
        <v>6398.4113734560087</v>
      </c>
      <c r="AM95" s="220">
        <f t="shared" ref="AM95:AP95" si="97">AI95/AE95</f>
        <v>7.2853471055915775E-2</v>
      </c>
      <c r="AN95" s="215">
        <f t="shared" si="97"/>
        <v>8.3664976235417243E-2</v>
      </c>
      <c r="AO95" s="215">
        <f t="shared" si="97"/>
        <v>7.8656416832018738E-2</v>
      </c>
      <c r="AP95" s="215">
        <f t="shared" si="97"/>
        <v>9.0415468636591403E-2</v>
      </c>
      <c r="AQ95" s="14"/>
      <c r="AR95" s="14"/>
      <c r="AS95" s="14"/>
      <c r="AT95" s="14"/>
      <c r="AU95" s="14"/>
      <c r="AV95" s="14"/>
      <c r="AW95" s="14"/>
      <c r="AX95" s="14"/>
      <c r="AY95" s="14"/>
      <c r="AZ95" s="14"/>
      <c r="BA95" s="14"/>
      <c r="BB95" s="14"/>
      <c r="BC95" s="14"/>
    </row>
    <row r="96" spans="1:55" ht="15" customHeight="1" x14ac:dyDescent="0.25">
      <c r="AI96" s="158"/>
      <c r="AJ96" s="158"/>
      <c r="AK96" s="159"/>
      <c r="AL96" s="159"/>
    </row>
    <row r="97" spans="1:55" ht="15" customHeight="1" x14ac:dyDescent="0.25">
      <c r="AI97" s="158"/>
      <c r="AJ97" s="158"/>
      <c r="AK97" s="159"/>
      <c r="AL97" s="159"/>
      <c r="AM97" s="159"/>
      <c r="AN97" s="159"/>
      <c r="AO97" s="159"/>
      <c r="AP97" s="159"/>
    </row>
    <row r="98" spans="1:55" ht="15" customHeight="1" x14ac:dyDescent="0.25">
      <c r="AA98" s="528"/>
      <c r="AB98" s="47"/>
      <c r="AC98" s="47"/>
      <c r="AD98" s="47"/>
      <c r="AE98" s="47"/>
      <c r="AF98" s="47"/>
      <c r="AG98" s="47"/>
      <c r="AH98" s="47"/>
      <c r="AI98" s="156" t="s">
        <v>926</v>
      </c>
      <c r="AJ98" s="158"/>
      <c r="AK98" s="159"/>
      <c r="AL98" s="159"/>
      <c r="AM98" s="156" t="s">
        <v>927</v>
      </c>
      <c r="AN98" s="157"/>
      <c r="AO98" s="157"/>
      <c r="AP98" s="157"/>
    </row>
    <row r="99" spans="1:55" ht="15" customHeight="1" x14ac:dyDescent="0.25">
      <c r="B99" s="110" t="s">
        <v>5</v>
      </c>
      <c r="C99" s="302" t="s">
        <v>765</v>
      </c>
      <c r="D99" s="303"/>
      <c r="E99" s="303"/>
      <c r="F99" s="304"/>
      <c r="G99" s="303"/>
      <c r="H99" s="303" t="s">
        <v>435</v>
      </c>
      <c r="I99" s="303"/>
      <c r="J99" s="303"/>
      <c r="K99" s="305"/>
      <c r="N99" s="293"/>
      <c r="O99" s="297" t="s">
        <v>693</v>
      </c>
      <c r="P99" s="296"/>
      <c r="Q99" s="296"/>
      <c r="R99" s="296"/>
      <c r="S99" s="296"/>
      <c r="T99" s="296" t="s">
        <v>700</v>
      </c>
      <c r="U99" s="296"/>
      <c r="V99" s="296"/>
      <c r="W99" s="296"/>
      <c r="Z99" t="s">
        <v>5</v>
      </c>
      <c r="AA99" s="156" t="s">
        <v>691</v>
      </c>
      <c r="AB99" s="526"/>
      <c r="AC99" s="526"/>
      <c r="AD99" s="526"/>
      <c r="AE99" s="526"/>
      <c r="AF99" s="526"/>
      <c r="AG99" s="526"/>
      <c r="AH99" s="526"/>
      <c r="AI99" s="526" t="s">
        <v>693</v>
      </c>
      <c r="AJ99" s="526"/>
      <c r="AK99" s="526" t="s">
        <v>700</v>
      </c>
      <c r="AL99" s="526"/>
      <c r="AM99" s="526" t="s">
        <v>693</v>
      </c>
      <c r="AN99" s="526"/>
      <c r="AO99" s="526" t="s">
        <v>700</v>
      </c>
      <c r="AP99" s="526"/>
      <c r="AQ99" s="526"/>
    </row>
    <row r="100" spans="1:55" ht="15" customHeight="1" x14ac:dyDescent="0.25">
      <c r="B100" s="111" t="s">
        <v>679</v>
      </c>
      <c r="C100" s="113" t="s">
        <v>935</v>
      </c>
      <c r="D100" s="112" t="s">
        <v>733</v>
      </c>
      <c r="E100" s="130" t="s">
        <v>934</v>
      </c>
      <c r="F100" s="130" t="s">
        <v>936</v>
      </c>
      <c r="G100" s="130" t="s">
        <v>734</v>
      </c>
      <c r="H100" s="131" t="s">
        <v>733</v>
      </c>
      <c r="I100" s="130" t="s">
        <v>934</v>
      </c>
      <c r="J100" s="130" t="s">
        <v>936</v>
      </c>
      <c r="K100" s="132" t="s">
        <v>735</v>
      </c>
      <c r="N100" s="160" t="s">
        <v>679</v>
      </c>
      <c r="O100" s="161" t="s">
        <v>697</v>
      </c>
      <c r="P100" s="161" t="s">
        <v>733</v>
      </c>
      <c r="Q100" s="162" t="s">
        <v>698</v>
      </c>
      <c r="R100" s="162" t="s">
        <v>699</v>
      </c>
      <c r="S100" s="162" t="s">
        <v>734</v>
      </c>
      <c r="T100" s="200" t="s">
        <v>733</v>
      </c>
      <c r="U100" s="162" t="s">
        <v>698</v>
      </c>
      <c r="V100" s="162" t="s">
        <v>699</v>
      </c>
      <c r="W100" s="163" t="s">
        <v>735</v>
      </c>
      <c r="Z100" s="205" t="s">
        <v>679</v>
      </c>
      <c r="AA100" s="271" t="s">
        <v>922</v>
      </c>
      <c r="AB100" s="271" t="s">
        <v>923</v>
      </c>
      <c r="AC100" s="271" t="s">
        <v>924</v>
      </c>
      <c r="AD100" s="271" t="s">
        <v>925</v>
      </c>
      <c r="AE100" s="272" t="s">
        <v>928</v>
      </c>
      <c r="AF100" s="272" t="s">
        <v>929</v>
      </c>
      <c r="AG100" s="272" t="s">
        <v>930</v>
      </c>
      <c r="AH100" s="272" t="s">
        <v>931</v>
      </c>
      <c r="AI100" s="273" t="s">
        <v>687</v>
      </c>
      <c r="AJ100" s="273" t="s">
        <v>688</v>
      </c>
      <c r="AK100" s="273" t="s">
        <v>689</v>
      </c>
      <c r="AL100" s="273" t="s">
        <v>690</v>
      </c>
      <c r="AM100" s="218" t="s">
        <v>687</v>
      </c>
      <c r="AN100" s="273" t="s">
        <v>688</v>
      </c>
      <c r="AO100" s="273" t="s">
        <v>689</v>
      </c>
      <c r="AP100" s="273" t="s">
        <v>690</v>
      </c>
    </row>
    <row r="101" spans="1:55" ht="15" customHeight="1" x14ac:dyDescent="0.25">
      <c r="A101" s="15">
        <v>600</v>
      </c>
      <c r="B101" s="56" t="s">
        <v>96</v>
      </c>
      <c r="C101" s="285">
        <v>15</v>
      </c>
      <c r="D101" s="286">
        <v>107261.51359623962</v>
      </c>
      <c r="E101" s="287">
        <v>123198</v>
      </c>
      <c r="F101" s="287">
        <v>15936.486403760384</v>
      </c>
      <c r="G101" s="133">
        <f t="shared" ref="G101:G115" si="98">IFERROR(F101/E101,"--")</f>
        <v>0.12935669737950603</v>
      </c>
      <c r="H101" s="276">
        <v>132380.76722787568</v>
      </c>
      <c r="I101" s="275">
        <v>151542.40158968</v>
      </c>
      <c r="J101" s="287">
        <v>19161.634361804317</v>
      </c>
      <c r="K101" s="133">
        <f t="shared" ref="K101:K115" si="99">IFERROR(J101/I101,"--")</f>
        <v>0.12644404576408153</v>
      </c>
      <c r="N101" s="164" t="s">
        <v>96</v>
      </c>
      <c r="O101" s="288">
        <v>14</v>
      </c>
      <c r="P101" s="289">
        <v>110523.49950932286</v>
      </c>
      <c r="Q101" s="290">
        <v>114732</v>
      </c>
      <c r="R101" s="290">
        <v>4208.5004906771355</v>
      </c>
      <c r="S101" s="181">
        <v>3.6681139443896518E-2</v>
      </c>
      <c r="T101" s="291">
        <v>136509.55324146603</v>
      </c>
      <c r="U101" s="277">
        <v>140837.50182896</v>
      </c>
      <c r="V101" s="290">
        <v>4327.948587493971</v>
      </c>
      <c r="W101" s="182">
        <v>3.0730086314297488E-2</v>
      </c>
      <c r="Z101" s="292" t="s">
        <v>96</v>
      </c>
      <c r="AA101" s="189">
        <f t="shared" ref="AA101:AA114" si="100">IF($D101="-","-",IF($P101="-","-",D101))</f>
        <v>107261.51359623962</v>
      </c>
      <c r="AB101" s="189">
        <f t="shared" ref="AB101:AB114" si="101">IF($D101="-","-",IF($P101="-","-",E101))</f>
        <v>123198</v>
      </c>
      <c r="AC101" s="189">
        <f t="shared" ref="AC101:AC114" si="102">IF($D101="-","-",IF($P101="-","-",H101))</f>
        <v>132380.76722787568</v>
      </c>
      <c r="AD101" s="189">
        <f t="shared" ref="AD101:AD114" si="103">IF($D101="-","-",IF($P101="-","-",I101))</f>
        <v>151542.40158968</v>
      </c>
      <c r="AE101" s="189">
        <f t="shared" ref="AE101:AE114" si="104">IF($D101="-","-",IF($P101="-","-",P101))</f>
        <v>110523.49950932286</v>
      </c>
      <c r="AF101" s="189">
        <f t="shared" ref="AF101:AF114" si="105">IF($D101="-","-",IF($P101="-","-",Q101))</f>
        <v>114732</v>
      </c>
      <c r="AG101" s="189">
        <f t="shared" ref="AG101:AG114" si="106">IF($D101="-","-",IF($P101="-","-",T101))</f>
        <v>136509.55324146603</v>
      </c>
      <c r="AH101" s="189">
        <f t="shared" ref="AH101:AH114" si="107">IF($D101="-","-",IF($P101="-","-",U101))</f>
        <v>140837.50182896</v>
      </c>
      <c r="AI101" s="206">
        <f>IFERROR(AA101-AE101,"-")</f>
        <v>-3261.9859130832483</v>
      </c>
      <c r="AJ101" s="206">
        <f>IFERROR(AB101-AF101,"-")</f>
        <v>8466</v>
      </c>
      <c r="AK101" s="189">
        <f>IFERROR(AC101-AG101,"-")</f>
        <v>-4128.7860135903466</v>
      </c>
      <c r="AL101" s="189">
        <f>IFERROR(AD101-AH101,"-")</f>
        <v>10704.89976072</v>
      </c>
      <c r="AM101" s="219">
        <f t="shared" ref="AM101:AP114" si="108">IFERROR(AI101/AE101,"-")</f>
        <v>-2.9513957914516574E-2</v>
      </c>
      <c r="AN101" s="214">
        <f t="shared" si="108"/>
        <v>7.3789352578182199E-2</v>
      </c>
      <c r="AO101" s="214">
        <f t="shared" si="108"/>
        <v>-3.0245399794746306E-2</v>
      </c>
      <c r="AP101" s="214">
        <f t="shared" si="108"/>
        <v>7.6008872791002477E-2</v>
      </c>
    </row>
    <row r="102" spans="1:55" ht="15" customHeight="1" x14ac:dyDescent="0.25">
      <c r="A102" s="15">
        <v>601</v>
      </c>
      <c r="B102" s="56" t="s">
        <v>97</v>
      </c>
      <c r="C102" s="285">
        <v>5</v>
      </c>
      <c r="D102" s="286">
        <v>89154.209708737879</v>
      </c>
      <c r="E102" s="287">
        <v>80970</v>
      </c>
      <c r="F102" s="287">
        <v>-8184.2097087378788</v>
      </c>
      <c r="G102" s="133">
        <f t="shared" si="98"/>
        <v>-0.10107706198268344</v>
      </c>
      <c r="H102" s="276">
        <v>115091.3589850045</v>
      </c>
      <c r="I102" s="275">
        <v>103965.75412520001</v>
      </c>
      <c r="J102" s="287">
        <v>-11125.604859804487</v>
      </c>
      <c r="K102" s="133">
        <f t="shared" si="99"/>
        <v>-0.10701220756218012</v>
      </c>
      <c r="N102" s="164" t="s">
        <v>97</v>
      </c>
      <c r="O102" s="288">
        <v>5</v>
      </c>
      <c r="P102" s="289">
        <v>87810.425543737249</v>
      </c>
      <c r="Q102" s="290">
        <v>73572</v>
      </c>
      <c r="R102" s="290">
        <v>-14238.425543737249</v>
      </c>
      <c r="S102" s="181">
        <v>-0.1935304945323934</v>
      </c>
      <c r="T102" s="291">
        <v>111659.4966121925</v>
      </c>
      <c r="U102" s="277">
        <v>94292.856784160002</v>
      </c>
      <c r="V102" s="290">
        <v>-17366.639828032494</v>
      </c>
      <c r="W102" s="182">
        <v>-0.18417768238569127</v>
      </c>
      <c r="Z102" s="292" t="s">
        <v>97</v>
      </c>
      <c r="AA102" s="189">
        <f t="shared" si="100"/>
        <v>89154.209708737879</v>
      </c>
      <c r="AB102" s="189">
        <f t="shared" si="101"/>
        <v>80970</v>
      </c>
      <c r="AC102" s="189">
        <f t="shared" si="102"/>
        <v>115091.3589850045</v>
      </c>
      <c r="AD102" s="189">
        <f t="shared" si="103"/>
        <v>103965.75412520001</v>
      </c>
      <c r="AE102" s="189">
        <f t="shared" si="104"/>
        <v>87810.425543737249</v>
      </c>
      <c r="AF102" s="189">
        <f t="shared" si="105"/>
        <v>73572</v>
      </c>
      <c r="AG102" s="189">
        <f t="shared" si="106"/>
        <v>111659.4966121925</v>
      </c>
      <c r="AH102" s="189">
        <f t="shared" si="107"/>
        <v>94292.856784160002</v>
      </c>
      <c r="AI102" s="206">
        <f t="shared" ref="AI102:AL115" si="109">IFERROR(AA102-AE102,"-")</f>
        <v>1343.7841650006303</v>
      </c>
      <c r="AJ102" s="206">
        <f t="shared" si="109"/>
        <v>7398</v>
      </c>
      <c r="AK102" s="189">
        <f t="shared" si="109"/>
        <v>3431.8623728120001</v>
      </c>
      <c r="AL102" s="189">
        <f t="shared" si="109"/>
        <v>9672.8973410400067</v>
      </c>
      <c r="AM102" s="219">
        <f t="shared" si="108"/>
        <v>1.5303241690034957E-2</v>
      </c>
      <c r="AN102" s="214">
        <f t="shared" si="108"/>
        <v>0.10055455879954331</v>
      </c>
      <c r="AO102" s="214">
        <f t="shared" si="108"/>
        <v>3.0735069357613984E-2</v>
      </c>
      <c r="AP102" s="214">
        <f t="shared" si="108"/>
        <v>0.10258356434339075</v>
      </c>
    </row>
    <row r="103" spans="1:55" ht="15" customHeight="1" x14ac:dyDescent="0.25">
      <c r="A103" s="15">
        <v>602</v>
      </c>
      <c r="B103" s="56" t="s">
        <v>98</v>
      </c>
      <c r="C103" s="285">
        <v>6</v>
      </c>
      <c r="D103" s="286">
        <v>121554.35566244199</v>
      </c>
      <c r="E103" s="287">
        <v>98676</v>
      </c>
      <c r="F103" s="287">
        <v>-22878.355662441987</v>
      </c>
      <c r="G103" s="133">
        <f t="shared" si="98"/>
        <v>-0.23185329424015957</v>
      </c>
      <c r="H103" s="276">
        <v>150086.65767770074</v>
      </c>
      <c r="I103" s="275">
        <v>123914.41662416</v>
      </c>
      <c r="J103" s="287">
        <v>-26172.24105354074</v>
      </c>
      <c r="K103" s="133">
        <f t="shared" si="99"/>
        <v>-0.21121223636893474</v>
      </c>
      <c r="N103" s="164" t="s">
        <v>98</v>
      </c>
      <c r="O103" s="288">
        <v>4</v>
      </c>
      <c r="P103" s="289" t="s">
        <v>684</v>
      </c>
      <c r="Q103" s="290" t="s">
        <v>684</v>
      </c>
      <c r="R103" s="290" t="s">
        <v>484</v>
      </c>
      <c r="S103" s="181" t="s">
        <v>484</v>
      </c>
      <c r="T103" s="291" t="s">
        <v>684</v>
      </c>
      <c r="U103" s="277" t="s">
        <v>684</v>
      </c>
      <c r="V103" s="290" t="s">
        <v>484</v>
      </c>
      <c r="W103" s="182" t="s">
        <v>484</v>
      </c>
      <c r="Z103" s="292" t="s">
        <v>98</v>
      </c>
      <c r="AA103" s="189" t="str">
        <f t="shared" si="100"/>
        <v>-</v>
      </c>
      <c r="AB103" s="189" t="str">
        <f t="shared" si="101"/>
        <v>-</v>
      </c>
      <c r="AC103" s="189" t="str">
        <f t="shared" si="102"/>
        <v>-</v>
      </c>
      <c r="AD103" s="189" t="str">
        <f t="shared" si="103"/>
        <v>-</v>
      </c>
      <c r="AE103" s="189" t="str">
        <f t="shared" si="104"/>
        <v>-</v>
      </c>
      <c r="AF103" s="189" t="str">
        <f t="shared" si="105"/>
        <v>-</v>
      </c>
      <c r="AG103" s="189" t="str">
        <f t="shared" si="106"/>
        <v>-</v>
      </c>
      <c r="AH103" s="189" t="str">
        <f t="shared" si="107"/>
        <v>-</v>
      </c>
      <c r="AI103" s="206" t="str">
        <f t="shared" si="109"/>
        <v>-</v>
      </c>
      <c r="AJ103" s="206" t="str">
        <f t="shared" si="109"/>
        <v>-</v>
      </c>
      <c r="AK103" s="189" t="str">
        <f t="shared" si="109"/>
        <v>-</v>
      </c>
      <c r="AL103" s="189" t="str">
        <f t="shared" si="109"/>
        <v>-</v>
      </c>
      <c r="AM103" s="219" t="str">
        <f t="shared" si="108"/>
        <v>-</v>
      </c>
      <c r="AN103" s="214" t="str">
        <f t="shared" si="108"/>
        <v>-</v>
      </c>
      <c r="AO103" s="214" t="str">
        <f t="shared" si="108"/>
        <v>-</v>
      </c>
      <c r="AP103" s="214" t="str">
        <f t="shared" si="108"/>
        <v>-</v>
      </c>
    </row>
    <row r="104" spans="1:55" ht="15" customHeight="1" x14ac:dyDescent="0.25">
      <c r="A104" s="15">
        <v>603</v>
      </c>
      <c r="B104" s="56" t="s">
        <v>99</v>
      </c>
      <c r="C104" s="285">
        <v>25</v>
      </c>
      <c r="D104" s="286">
        <v>86190.5</v>
      </c>
      <c r="E104" s="287">
        <v>64800</v>
      </c>
      <c r="F104" s="287">
        <v>-21390.5</v>
      </c>
      <c r="G104" s="133">
        <f t="shared" si="98"/>
        <v>-0.33010030864197532</v>
      </c>
      <c r="H104" s="276">
        <v>110048.30998016</v>
      </c>
      <c r="I104" s="275">
        <v>85747.643167999995</v>
      </c>
      <c r="J104" s="287">
        <v>-24300.666812160009</v>
      </c>
      <c r="K104" s="133">
        <f t="shared" si="99"/>
        <v>-0.28339748959104605</v>
      </c>
      <c r="N104" s="164" t="s">
        <v>99</v>
      </c>
      <c r="O104" s="288">
        <v>19</v>
      </c>
      <c r="P104" s="289">
        <v>80088</v>
      </c>
      <c r="Q104" s="290">
        <v>60348</v>
      </c>
      <c r="R104" s="290">
        <v>-19740</v>
      </c>
      <c r="S104" s="181">
        <v>-0.32710280373831774</v>
      </c>
      <c r="T104" s="291">
        <v>100832.25908524629</v>
      </c>
      <c r="U104" s="277">
        <v>79338.862953439995</v>
      </c>
      <c r="V104" s="290">
        <v>-21493.396131806294</v>
      </c>
      <c r="W104" s="182">
        <v>-0.2709062788613405</v>
      </c>
      <c r="Z104" s="292" t="s">
        <v>99</v>
      </c>
      <c r="AA104" s="189">
        <f t="shared" si="100"/>
        <v>86190.5</v>
      </c>
      <c r="AB104" s="189">
        <f t="shared" si="101"/>
        <v>64800</v>
      </c>
      <c r="AC104" s="189">
        <f t="shared" si="102"/>
        <v>110048.30998016</v>
      </c>
      <c r="AD104" s="189">
        <f t="shared" si="103"/>
        <v>85747.643167999995</v>
      </c>
      <c r="AE104" s="189">
        <f t="shared" si="104"/>
        <v>80088</v>
      </c>
      <c r="AF104" s="189">
        <f t="shared" si="105"/>
        <v>60348</v>
      </c>
      <c r="AG104" s="189">
        <f t="shared" si="106"/>
        <v>100832.25908524629</v>
      </c>
      <c r="AH104" s="189">
        <f t="shared" si="107"/>
        <v>79338.862953439995</v>
      </c>
      <c r="AI104" s="206">
        <f t="shared" si="109"/>
        <v>6102.5</v>
      </c>
      <c r="AJ104" s="206">
        <f t="shared" si="109"/>
        <v>4452</v>
      </c>
      <c r="AK104" s="189">
        <f t="shared" si="109"/>
        <v>9216.0508949137147</v>
      </c>
      <c r="AL104" s="189">
        <f t="shared" si="109"/>
        <v>6408.7802145599999</v>
      </c>
      <c r="AM104" s="219">
        <f t="shared" si="108"/>
        <v>7.6197432823893713E-2</v>
      </c>
      <c r="AN104" s="214">
        <f t="shared" si="108"/>
        <v>7.3772121694173798E-2</v>
      </c>
      <c r="AO104" s="214">
        <f t="shared" si="108"/>
        <v>9.1399825596709269E-2</v>
      </c>
      <c r="AP104" s="214">
        <f t="shared" si="108"/>
        <v>8.0777313613896784E-2</v>
      </c>
    </row>
    <row r="105" spans="1:55" s="14" customFormat="1" ht="15" customHeight="1" x14ac:dyDescent="0.25">
      <c r="A105" s="15">
        <v>604</v>
      </c>
      <c r="B105" s="56" t="s">
        <v>100</v>
      </c>
      <c r="C105" s="285">
        <v>30</v>
      </c>
      <c r="D105" s="286">
        <v>91148.691957359901</v>
      </c>
      <c r="E105" s="287">
        <v>60228</v>
      </c>
      <c r="F105" s="287">
        <v>-30920.691957359901</v>
      </c>
      <c r="G105" s="133">
        <f t="shared" si="98"/>
        <v>-0.51339396887427613</v>
      </c>
      <c r="H105" s="276">
        <v>116918.1460040393</v>
      </c>
      <c r="I105" s="275">
        <v>80596.548344480005</v>
      </c>
      <c r="J105" s="287">
        <v>-36321.597659559295</v>
      </c>
      <c r="K105" s="133">
        <f t="shared" si="99"/>
        <v>-0.45065946874444446</v>
      </c>
      <c r="L105"/>
      <c r="N105" s="164" t="s">
        <v>100</v>
      </c>
      <c r="O105" s="288">
        <v>22</v>
      </c>
      <c r="P105" s="289">
        <v>81994.176986301376</v>
      </c>
      <c r="Q105" s="290">
        <v>56088</v>
      </c>
      <c r="R105" s="290">
        <v>-25906.176986301376</v>
      </c>
      <c r="S105" s="181">
        <v>-0.46188448485061645</v>
      </c>
      <c r="T105" s="291">
        <v>104137.99122654377</v>
      </c>
      <c r="U105" s="277">
        <v>74521.560040640004</v>
      </c>
      <c r="V105" s="290">
        <v>-29616.43118590377</v>
      </c>
      <c r="W105" s="182">
        <v>-0.39742097682539895</v>
      </c>
      <c r="Z105" s="292" t="s">
        <v>100</v>
      </c>
      <c r="AA105" s="189">
        <f t="shared" si="100"/>
        <v>91148.691957359901</v>
      </c>
      <c r="AB105" s="189">
        <f t="shared" si="101"/>
        <v>60228</v>
      </c>
      <c r="AC105" s="189">
        <f t="shared" si="102"/>
        <v>116918.1460040393</v>
      </c>
      <c r="AD105" s="189">
        <f t="shared" si="103"/>
        <v>80596.548344480005</v>
      </c>
      <c r="AE105" s="189">
        <f t="shared" si="104"/>
        <v>81994.176986301376</v>
      </c>
      <c r="AF105" s="189">
        <f t="shared" si="105"/>
        <v>56088</v>
      </c>
      <c r="AG105" s="189">
        <f t="shared" si="106"/>
        <v>104137.99122654377</v>
      </c>
      <c r="AH105" s="189">
        <f t="shared" si="107"/>
        <v>74521.560040640004</v>
      </c>
      <c r="AI105" s="206">
        <f t="shared" si="109"/>
        <v>9154.5149710585247</v>
      </c>
      <c r="AJ105" s="206">
        <f t="shared" si="109"/>
        <v>4140</v>
      </c>
      <c r="AK105" s="189">
        <f t="shared" si="109"/>
        <v>12780.154777495525</v>
      </c>
      <c r="AL105" s="189">
        <f t="shared" si="109"/>
        <v>6074.9883038400003</v>
      </c>
      <c r="AM105" s="219">
        <f t="shared" si="108"/>
        <v>0.11164835488973751</v>
      </c>
      <c r="AN105" s="214">
        <f t="shared" si="108"/>
        <v>7.3812580231065475E-2</v>
      </c>
      <c r="AO105" s="214">
        <f t="shared" si="108"/>
        <v>0.12272326964415256</v>
      </c>
      <c r="AP105" s="214">
        <f t="shared" si="108"/>
        <v>8.1519875597438271E-2</v>
      </c>
      <c r="AQ105"/>
      <c r="AR105"/>
      <c r="AS105"/>
      <c r="AT105"/>
      <c r="AU105"/>
      <c r="AV105"/>
      <c r="AW105"/>
      <c r="AX105"/>
      <c r="AY105"/>
      <c r="AZ105"/>
      <c r="BA105"/>
      <c r="BB105"/>
      <c r="BC105"/>
    </row>
    <row r="106" spans="1:55" ht="15" customHeight="1" x14ac:dyDescent="0.25">
      <c r="A106" s="15">
        <v>605</v>
      </c>
      <c r="B106" s="56" t="s">
        <v>101</v>
      </c>
      <c r="C106" s="285">
        <v>28</v>
      </c>
      <c r="D106" s="286">
        <v>56617.5</v>
      </c>
      <c r="E106" s="287">
        <v>40938</v>
      </c>
      <c r="F106" s="287">
        <v>-15679.5</v>
      </c>
      <c r="G106" s="133">
        <f t="shared" si="98"/>
        <v>-0.3830060090869119</v>
      </c>
      <c r="H106" s="276">
        <v>76993.268030599997</v>
      </c>
      <c r="I106" s="275">
        <v>58863.254568080003</v>
      </c>
      <c r="J106" s="287">
        <v>-18130.013462519993</v>
      </c>
      <c r="K106" s="133">
        <f t="shared" si="99"/>
        <v>-0.30800222644079595</v>
      </c>
      <c r="N106" s="164" t="s">
        <v>101</v>
      </c>
      <c r="O106" s="288">
        <v>24</v>
      </c>
      <c r="P106" s="289">
        <v>54490.450286745443</v>
      </c>
      <c r="Q106" s="290">
        <v>38124</v>
      </c>
      <c r="R106" s="290">
        <v>-16366.450286745443</v>
      </c>
      <c r="S106" s="181">
        <v>-0.42929520214944505</v>
      </c>
      <c r="T106" s="291">
        <v>73609.743025772463</v>
      </c>
      <c r="U106" s="277">
        <v>54207.46860272</v>
      </c>
      <c r="V106" s="290">
        <v>-19402.274423052462</v>
      </c>
      <c r="W106" s="182">
        <v>-0.35792622166604737</v>
      </c>
      <c r="Z106" s="292" t="s">
        <v>101</v>
      </c>
      <c r="AA106" s="189">
        <f t="shared" si="100"/>
        <v>56617.5</v>
      </c>
      <c r="AB106" s="189">
        <f t="shared" si="101"/>
        <v>40938</v>
      </c>
      <c r="AC106" s="189">
        <f t="shared" si="102"/>
        <v>76993.268030599997</v>
      </c>
      <c r="AD106" s="189">
        <f t="shared" si="103"/>
        <v>58863.254568080003</v>
      </c>
      <c r="AE106" s="189">
        <f t="shared" si="104"/>
        <v>54490.450286745443</v>
      </c>
      <c r="AF106" s="189">
        <f t="shared" si="105"/>
        <v>38124</v>
      </c>
      <c r="AG106" s="189">
        <f t="shared" si="106"/>
        <v>73609.743025772463</v>
      </c>
      <c r="AH106" s="189">
        <f t="shared" si="107"/>
        <v>54207.46860272</v>
      </c>
      <c r="AI106" s="206">
        <f t="shared" si="109"/>
        <v>2127.049713254557</v>
      </c>
      <c r="AJ106" s="206">
        <f t="shared" si="109"/>
        <v>2814</v>
      </c>
      <c r="AK106" s="189">
        <f t="shared" si="109"/>
        <v>3383.5250048275338</v>
      </c>
      <c r="AL106" s="189">
        <f t="shared" si="109"/>
        <v>4655.7859653600026</v>
      </c>
      <c r="AM106" s="219">
        <f t="shared" si="108"/>
        <v>3.9035275026382966E-2</v>
      </c>
      <c r="AN106" s="214">
        <f t="shared" si="108"/>
        <v>7.3811772112055404E-2</v>
      </c>
      <c r="AO106" s="214">
        <f t="shared" si="108"/>
        <v>4.5965722277319786E-2</v>
      </c>
      <c r="AP106" s="214">
        <f t="shared" si="108"/>
        <v>8.588827490694495E-2</v>
      </c>
    </row>
    <row r="107" spans="1:55" ht="15" customHeight="1" x14ac:dyDescent="0.25">
      <c r="A107" s="15">
        <v>606</v>
      </c>
      <c r="B107" s="56" t="s">
        <v>102</v>
      </c>
      <c r="C107" s="285">
        <v>14</v>
      </c>
      <c r="D107" s="286">
        <v>45434</v>
      </c>
      <c r="E107" s="287">
        <v>39030</v>
      </c>
      <c r="F107" s="287">
        <v>-6404</v>
      </c>
      <c r="G107" s="133">
        <f t="shared" si="98"/>
        <v>-0.16407891365616192</v>
      </c>
      <c r="H107" s="276">
        <v>64308.769284007976</v>
      </c>
      <c r="I107" s="275">
        <v>56713.585074800001</v>
      </c>
      <c r="J107" s="287">
        <v>-7595.1842092079751</v>
      </c>
      <c r="K107" s="133">
        <f t="shared" si="99"/>
        <v>-0.13392177904448513</v>
      </c>
      <c r="N107" s="164" t="s">
        <v>102</v>
      </c>
      <c r="O107" s="288">
        <v>12</v>
      </c>
      <c r="P107" s="289">
        <v>40315.22</v>
      </c>
      <c r="Q107" s="290">
        <v>36348</v>
      </c>
      <c r="R107" s="290">
        <v>-3967.2200000000012</v>
      </c>
      <c r="S107" s="181">
        <v>-0.10914548255749976</v>
      </c>
      <c r="T107" s="291">
        <v>56996.021000730318</v>
      </c>
      <c r="U107" s="277">
        <v>52199.128233440002</v>
      </c>
      <c r="V107" s="290">
        <v>-4796.8927672903155</v>
      </c>
      <c r="W107" s="182">
        <v>-9.1896032168163916E-2</v>
      </c>
      <c r="Z107" s="292" t="s">
        <v>102</v>
      </c>
      <c r="AA107" s="189">
        <f t="shared" si="100"/>
        <v>45434</v>
      </c>
      <c r="AB107" s="189">
        <f t="shared" si="101"/>
        <v>39030</v>
      </c>
      <c r="AC107" s="189">
        <f t="shared" si="102"/>
        <v>64308.769284007976</v>
      </c>
      <c r="AD107" s="189">
        <f t="shared" si="103"/>
        <v>56713.585074800001</v>
      </c>
      <c r="AE107" s="189">
        <f t="shared" si="104"/>
        <v>40315.22</v>
      </c>
      <c r="AF107" s="189">
        <f t="shared" si="105"/>
        <v>36348</v>
      </c>
      <c r="AG107" s="189">
        <f t="shared" si="106"/>
        <v>56996.021000730318</v>
      </c>
      <c r="AH107" s="189">
        <f t="shared" si="107"/>
        <v>52199.128233440002</v>
      </c>
      <c r="AI107" s="206">
        <f t="shared" si="109"/>
        <v>5118.7799999999988</v>
      </c>
      <c r="AJ107" s="206">
        <f t="shared" si="109"/>
        <v>2682</v>
      </c>
      <c r="AK107" s="189">
        <f t="shared" si="109"/>
        <v>7312.7482832776586</v>
      </c>
      <c r="AL107" s="189">
        <f t="shared" si="109"/>
        <v>4514.4568413599991</v>
      </c>
      <c r="AM107" s="219">
        <f t="shared" si="108"/>
        <v>0.12696892141479071</v>
      </c>
      <c r="AN107" s="214">
        <f t="shared" si="108"/>
        <v>7.3786728293166057E-2</v>
      </c>
      <c r="AO107" s="214">
        <f t="shared" si="108"/>
        <v>0.12830278596437383</v>
      </c>
      <c r="AP107" s="214">
        <f t="shared" si="108"/>
        <v>8.6485291884011398E-2</v>
      </c>
    </row>
    <row r="108" spans="1:55" ht="15.75" x14ac:dyDescent="0.25">
      <c r="A108" s="15">
        <v>607</v>
      </c>
      <c r="B108" s="56" t="s">
        <v>103</v>
      </c>
      <c r="C108" s="285">
        <v>30</v>
      </c>
      <c r="D108" s="286">
        <v>81261.051379912809</v>
      </c>
      <c r="E108" s="287">
        <v>49560</v>
      </c>
      <c r="F108" s="287">
        <v>-31701.051379912809</v>
      </c>
      <c r="G108" s="133">
        <f t="shared" si="98"/>
        <v>-0.63964994713302681</v>
      </c>
      <c r="H108" s="276">
        <v>104798.88523980652</v>
      </c>
      <c r="I108" s="275">
        <v>68577.327089600003</v>
      </c>
      <c r="J108" s="287">
        <v>-36221.558150206518</v>
      </c>
      <c r="K108" s="133">
        <f t="shared" si="99"/>
        <v>-0.52818562180006057</v>
      </c>
      <c r="N108" s="164" t="s">
        <v>103</v>
      </c>
      <c r="O108" s="288">
        <v>23</v>
      </c>
      <c r="P108" s="289">
        <v>70428.103992571952</v>
      </c>
      <c r="Q108" s="290">
        <v>46152</v>
      </c>
      <c r="R108" s="290">
        <v>-24276.103992571952</v>
      </c>
      <c r="S108" s="181">
        <v>-0.52600329330412443</v>
      </c>
      <c r="T108" s="291">
        <v>93741.089152747954</v>
      </c>
      <c r="U108" s="277">
        <v>63285.709866559999</v>
      </c>
      <c r="V108" s="290">
        <v>-30455.379286187956</v>
      </c>
      <c r="W108" s="182">
        <v>-0.48123627514653977</v>
      </c>
      <c r="Z108" s="292" t="s">
        <v>103</v>
      </c>
      <c r="AA108" s="189">
        <f t="shared" si="100"/>
        <v>81261.051379912809</v>
      </c>
      <c r="AB108" s="189">
        <f t="shared" si="101"/>
        <v>49560</v>
      </c>
      <c r="AC108" s="189">
        <f t="shared" si="102"/>
        <v>104798.88523980652</v>
      </c>
      <c r="AD108" s="189">
        <f t="shared" si="103"/>
        <v>68577.327089600003</v>
      </c>
      <c r="AE108" s="189">
        <f t="shared" si="104"/>
        <v>70428.103992571952</v>
      </c>
      <c r="AF108" s="189">
        <f t="shared" si="105"/>
        <v>46152</v>
      </c>
      <c r="AG108" s="189">
        <f t="shared" si="106"/>
        <v>93741.089152747954</v>
      </c>
      <c r="AH108" s="189">
        <f t="shared" si="107"/>
        <v>63285.709866559999</v>
      </c>
      <c r="AI108" s="206">
        <f t="shared" si="109"/>
        <v>10832.947387340857</v>
      </c>
      <c r="AJ108" s="206">
        <f t="shared" si="109"/>
        <v>3408</v>
      </c>
      <c r="AK108" s="189">
        <f t="shared" si="109"/>
        <v>11057.796087058567</v>
      </c>
      <c r="AL108" s="189">
        <f t="shared" si="109"/>
        <v>5291.6172230400043</v>
      </c>
      <c r="AM108" s="219">
        <f t="shared" si="108"/>
        <v>0.15381568966393597</v>
      </c>
      <c r="AN108" s="214">
        <f t="shared" si="108"/>
        <v>7.3842953718148724E-2</v>
      </c>
      <c r="AO108" s="214">
        <f t="shared" si="108"/>
        <v>0.11796103701163808</v>
      </c>
      <c r="AP108" s="214">
        <f t="shared" si="108"/>
        <v>8.3614724938656029E-2</v>
      </c>
    </row>
    <row r="109" spans="1:55" ht="15" customHeight="1" x14ac:dyDescent="0.25">
      <c r="A109" s="15">
        <v>608</v>
      </c>
      <c r="B109" s="56" t="s">
        <v>104</v>
      </c>
      <c r="C109" s="285">
        <v>12</v>
      </c>
      <c r="D109" s="286">
        <v>86279.11305145669</v>
      </c>
      <c r="E109" s="287">
        <v>57306</v>
      </c>
      <c r="F109" s="287">
        <v>-28973.11305145669</v>
      </c>
      <c r="G109" s="133">
        <f t="shared" si="98"/>
        <v>-0.50558603028403115</v>
      </c>
      <c r="H109" s="276">
        <v>109370.38061475178</v>
      </c>
      <c r="I109" s="275">
        <v>77304.444434959994</v>
      </c>
      <c r="J109" s="287">
        <v>-32065.936179791781</v>
      </c>
      <c r="K109" s="133">
        <f t="shared" si="99"/>
        <v>-0.41480068079100446</v>
      </c>
      <c r="N109" s="164" t="s">
        <v>104</v>
      </c>
      <c r="O109" s="288">
        <v>10</v>
      </c>
      <c r="P109" s="289">
        <v>78261.488505747126</v>
      </c>
      <c r="Q109" s="290">
        <v>53364</v>
      </c>
      <c r="R109" s="290">
        <v>-24897.488505747126</v>
      </c>
      <c r="S109" s="181">
        <v>-0.46655963769108622</v>
      </c>
      <c r="T109" s="291">
        <v>99599.598022204475</v>
      </c>
      <c r="U109" s="277">
        <v>71441.200149919998</v>
      </c>
      <c r="V109" s="290">
        <v>-28158.397872284477</v>
      </c>
      <c r="W109" s="182">
        <v>-0.39414788403881551</v>
      </c>
      <c r="Z109" s="292" t="s">
        <v>104</v>
      </c>
      <c r="AA109" s="189">
        <f t="shared" si="100"/>
        <v>86279.11305145669</v>
      </c>
      <c r="AB109" s="189">
        <f t="shared" si="101"/>
        <v>57306</v>
      </c>
      <c r="AC109" s="189">
        <f t="shared" si="102"/>
        <v>109370.38061475178</v>
      </c>
      <c r="AD109" s="189">
        <f t="shared" si="103"/>
        <v>77304.444434959994</v>
      </c>
      <c r="AE109" s="189">
        <f t="shared" si="104"/>
        <v>78261.488505747126</v>
      </c>
      <c r="AF109" s="189">
        <f t="shared" si="105"/>
        <v>53364</v>
      </c>
      <c r="AG109" s="189">
        <f t="shared" si="106"/>
        <v>99599.598022204475</v>
      </c>
      <c r="AH109" s="189">
        <f t="shared" si="107"/>
        <v>71441.200149919998</v>
      </c>
      <c r="AI109" s="206">
        <f t="shared" si="109"/>
        <v>8017.6245457095647</v>
      </c>
      <c r="AJ109" s="206">
        <f t="shared" si="109"/>
        <v>3942</v>
      </c>
      <c r="AK109" s="189">
        <f t="shared" si="109"/>
        <v>9770.7825925473007</v>
      </c>
      <c r="AL109" s="189">
        <f t="shared" si="109"/>
        <v>5863.2442850399966</v>
      </c>
      <c r="AM109" s="219">
        <f t="shared" si="108"/>
        <v>0.10244661453277612</v>
      </c>
      <c r="AN109" s="214">
        <f t="shared" si="108"/>
        <v>7.3870024735776932E-2</v>
      </c>
      <c r="AO109" s="214">
        <f t="shared" si="108"/>
        <v>9.8100622759230691E-2</v>
      </c>
      <c r="AP109" s="214">
        <f t="shared" si="108"/>
        <v>8.207090968147128E-2</v>
      </c>
    </row>
    <row r="110" spans="1:55" ht="15" customHeight="1" x14ac:dyDescent="0.25">
      <c r="A110" s="15">
        <v>609</v>
      </c>
      <c r="B110" s="56" t="s">
        <v>105</v>
      </c>
      <c r="C110" s="285">
        <v>22</v>
      </c>
      <c r="D110" s="286">
        <v>97492.429824561405</v>
      </c>
      <c r="E110" s="287">
        <v>89364</v>
      </c>
      <c r="F110" s="287">
        <v>-8128.4298245614045</v>
      </c>
      <c r="G110" s="133">
        <f t="shared" si="98"/>
        <v>-9.0958661480701447E-2</v>
      </c>
      <c r="H110" s="276">
        <v>123917.37716437651</v>
      </c>
      <c r="I110" s="275">
        <v>113422.94790224</v>
      </c>
      <c r="J110" s="287">
        <v>-10494.429262136502</v>
      </c>
      <c r="K110" s="133">
        <f t="shared" si="99"/>
        <v>-9.2524744385780913E-2</v>
      </c>
      <c r="N110" s="164" t="s">
        <v>105</v>
      </c>
      <c r="O110" s="288">
        <v>19</v>
      </c>
      <c r="P110" s="289">
        <v>91842.938449901951</v>
      </c>
      <c r="Q110" s="290">
        <v>83220</v>
      </c>
      <c r="R110" s="290">
        <v>-8622.9384499019507</v>
      </c>
      <c r="S110" s="181">
        <v>-0.10361617940281123</v>
      </c>
      <c r="T110" s="291">
        <v>116627.84758164533</v>
      </c>
      <c r="U110" s="277">
        <v>105203.0301416</v>
      </c>
      <c r="V110" s="290">
        <v>-11424.817440045328</v>
      </c>
      <c r="W110" s="182">
        <v>-0.10859779822565833</v>
      </c>
      <c r="Z110" s="292" t="s">
        <v>105</v>
      </c>
      <c r="AA110" s="189">
        <f t="shared" si="100"/>
        <v>97492.429824561405</v>
      </c>
      <c r="AB110" s="189">
        <f t="shared" si="101"/>
        <v>89364</v>
      </c>
      <c r="AC110" s="189">
        <f t="shared" si="102"/>
        <v>123917.37716437651</v>
      </c>
      <c r="AD110" s="189">
        <f t="shared" si="103"/>
        <v>113422.94790224</v>
      </c>
      <c r="AE110" s="189">
        <f t="shared" si="104"/>
        <v>91842.938449901951</v>
      </c>
      <c r="AF110" s="189">
        <f t="shared" si="105"/>
        <v>83220</v>
      </c>
      <c r="AG110" s="189">
        <f t="shared" si="106"/>
        <v>116627.84758164533</v>
      </c>
      <c r="AH110" s="189">
        <f t="shared" si="107"/>
        <v>105203.0301416</v>
      </c>
      <c r="AI110" s="206">
        <f t="shared" si="109"/>
        <v>5649.4913746594539</v>
      </c>
      <c r="AJ110" s="206">
        <f t="shared" si="109"/>
        <v>6144</v>
      </c>
      <c r="AK110" s="189">
        <f t="shared" si="109"/>
        <v>7289.5295827311784</v>
      </c>
      <c r="AL110" s="189">
        <f t="shared" si="109"/>
        <v>8219.9177606400044</v>
      </c>
      <c r="AM110" s="219">
        <f t="shared" si="108"/>
        <v>6.151252856245569E-2</v>
      </c>
      <c r="AN110" s="214">
        <f t="shared" si="108"/>
        <v>7.3828406633020913E-2</v>
      </c>
      <c r="AO110" s="214">
        <f t="shared" si="108"/>
        <v>6.250247890091723E-2</v>
      </c>
      <c r="AP110" s="214">
        <f t="shared" si="108"/>
        <v>7.8133849848015316E-2</v>
      </c>
    </row>
    <row r="111" spans="1:55" ht="15" customHeight="1" x14ac:dyDescent="0.25">
      <c r="A111" s="15">
        <v>610</v>
      </c>
      <c r="B111" s="56" t="s">
        <v>106</v>
      </c>
      <c r="C111" s="285">
        <v>12</v>
      </c>
      <c r="D111" s="286">
        <v>69132.510732984301</v>
      </c>
      <c r="E111" s="287">
        <v>58734</v>
      </c>
      <c r="F111" s="287">
        <v>-10398.510732984301</v>
      </c>
      <c r="G111" s="133">
        <f t="shared" si="98"/>
        <v>-0.1770441436473644</v>
      </c>
      <c r="H111" s="276">
        <v>90957.052597586997</v>
      </c>
      <c r="I111" s="275">
        <v>78913.316571439995</v>
      </c>
      <c r="J111" s="287">
        <v>-12043.736026147002</v>
      </c>
      <c r="K111" s="133">
        <f t="shared" si="99"/>
        <v>-0.15261981816774667</v>
      </c>
      <c r="N111" s="164" t="s">
        <v>106</v>
      </c>
      <c r="O111" s="288">
        <v>8</v>
      </c>
      <c r="P111" s="289">
        <v>59930.845414619587</v>
      </c>
      <c r="Q111" s="290">
        <v>53364</v>
      </c>
      <c r="R111" s="290">
        <v>-6566.8454146195872</v>
      </c>
      <c r="S111" s="181">
        <v>-0.12305759340790771</v>
      </c>
      <c r="T111" s="291">
        <v>80780.599032525206</v>
      </c>
      <c r="U111" s="277">
        <v>71441.200149919998</v>
      </c>
      <c r="V111" s="290">
        <v>-9339.3988826052082</v>
      </c>
      <c r="W111" s="182">
        <v>-0.13072847128836576</v>
      </c>
      <c r="Z111" s="292" t="s">
        <v>106</v>
      </c>
      <c r="AA111" s="189">
        <f t="shared" si="100"/>
        <v>69132.510732984301</v>
      </c>
      <c r="AB111" s="189">
        <f t="shared" si="101"/>
        <v>58734</v>
      </c>
      <c r="AC111" s="189">
        <f t="shared" si="102"/>
        <v>90957.052597586997</v>
      </c>
      <c r="AD111" s="189">
        <f t="shared" si="103"/>
        <v>78913.316571439995</v>
      </c>
      <c r="AE111" s="189">
        <f t="shared" si="104"/>
        <v>59930.845414619587</v>
      </c>
      <c r="AF111" s="189">
        <f t="shared" si="105"/>
        <v>53364</v>
      </c>
      <c r="AG111" s="189">
        <f t="shared" si="106"/>
        <v>80780.599032525206</v>
      </c>
      <c r="AH111" s="189">
        <f t="shared" si="107"/>
        <v>71441.200149919998</v>
      </c>
      <c r="AI111" s="206">
        <f t="shared" si="109"/>
        <v>9201.665318364714</v>
      </c>
      <c r="AJ111" s="206">
        <f t="shared" si="109"/>
        <v>5370</v>
      </c>
      <c r="AK111" s="189">
        <f t="shared" si="109"/>
        <v>10176.453565061791</v>
      </c>
      <c r="AL111" s="189">
        <f t="shared" si="109"/>
        <v>7472.1164215199969</v>
      </c>
      <c r="AM111" s="219">
        <f t="shared" si="108"/>
        <v>0.15353805297931022</v>
      </c>
      <c r="AN111" s="214">
        <f t="shared" si="108"/>
        <v>0.10062963795817405</v>
      </c>
      <c r="AO111" s="214">
        <f t="shared" si="108"/>
        <v>0.12597645581910552</v>
      </c>
      <c r="AP111" s="214">
        <f t="shared" si="108"/>
        <v>0.10459113796856287</v>
      </c>
    </row>
    <row r="112" spans="1:55" ht="15" customHeight="1" x14ac:dyDescent="0.25">
      <c r="A112" s="15">
        <v>611</v>
      </c>
      <c r="B112" s="56" t="s">
        <v>107</v>
      </c>
      <c r="C112" s="285">
        <v>16</v>
      </c>
      <c r="D112" s="286">
        <v>58449.352378057803</v>
      </c>
      <c r="E112" s="287">
        <v>47238</v>
      </c>
      <c r="F112" s="287">
        <v>-11211.352378057803</v>
      </c>
      <c r="G112" s="133">
        <f t="shared" si="98"/>
        <v>-0.23733757521609306</v>
      </c>
      <c r="H112" s="276">
        <v>79680.339042429478</v>
      </c>
      <c r="I112" s="275">
        <v>65961.219876079995</v>
      </c>
      <c r="J112" s="287">
        <v>-13719.119166349483</v>
      </c>
      <c r="K112" s="133">
        <f t="shared" si="99"/>
        <v>-0.20798765080638765</v>
      </c>
      <c r="N112" s="164" t="s">
        <v>107</v>
      </c>
      <c r="O112" s="288">
        <v>12</v>
      </c>
      <c r="P112" s="289">
        <v>57820.177045176555</v>
      </c>
      <c r="Q112" s="290">
        <v>43992</v>
      </c>
      <c r="R112" s="290">
        <v>-13828.177045176555</v>
      </c>
      <c r="S112" s="181">
        <v>-0.31433390264540267</v>
      </c>
      <c r="T112" s="291">
        <v>77940.315474964111</v>
      </c>
      <c r="U112" s="277">
        <v>60843.133741760001</v>
      </c>
      <c r="V112" s="290">
        <v>-17097.18173320411</v>
      </c>
      <c r="W112" s="182">
        <v>-0.28100429221431389</v>
      </c>
      <c r="Z112" s="292" t="s">
        <v>107</v>
      </c>
      <c r="AA112" s="189">
        <f t="shared" si="100"/>
        <v>58449.352378057803</v>
      </c>
      <c r="AB112" s="189">
        <f t="shared" si="101"/>
        <v>47238</v>
      </c>
      <c r="AC112" s="189">
        <f t="shared" si="102"/>
        <v>79680.339042429478</v>
      </c>
      <c r="AD112" s="189">
        <f t="shared" si="103"/>
        <v>65961.219876079995</v>
      </c>
      <c r="AE112" s="189">
        <f t="shared" si="104"/>
        <v>57820.177045176555</v>
      </c>
      <c r="AF112" s="189">
        <f t="shared" si="105"/>
        <v>43992</v>
      </c>
      <c r="AG112" s="189">
        <f t="shared" si="106"/>
        <v>77940.315474964111</v>
      </c>
      <c r="AH112" s="189">
        <f t="shared" si="107"/>
        <v>60843.133741760001</v>
      </c>
      <c r="AI112" s="206">
        <f t="shared" si="109"/>
        <v>629.17533288124832</v>
      </c>
      <c r="AJ112" s="206">
        <f t="shared" si="109"/>
        <v>3246</v>
      </c>
      <c r="AK112" s="189">
        <f t="shared" si="109"/>
        <v>1740.0235674653668</v>
      </c>
      <c r="AL112" s="189">
        <f t="shared" si="109"/>
        <v>5118.086134319994</v>
      </c>
      <c r="AM112" s="219">
        <f t="shared" si="108"/>
        <v>1.0881587795721478E-2</v>
      </c>
      <c r="AN112" s="214">
        <f t="shared" si="108"/>
        <v>7.378614293507911E-2</v>
      </c>
      <c r="AO112" s="214">
        <f t="shared" si="108"/>
        <v>2.2325077296156119E-2</v>
      </c>
      <c r="AP112" s="214">
        <f t="shared" si="108"/>
        <v>8.4119370906222221E-2</v>
      </c>
    </row>
    <row r="113" spans="1:55" ht="15" customHeight="1" x14ac:dyDescent="0.25">
      <c r="A113" s="15">
        <v>612</v>
      </c>
      <c r="B113" s="56" t="s">
        <v>108</v>
      </c>
      <c r="C113" s="285">
        <v>17</v>
      </c>
      <c r="D113" s="286">
        <v>62625.349583341187</v>
      </c>
      <c r="E113" s="287">
        <v>60228</v>
      </c>
      <c r="F113" s="287">
        <v>-2397.3495833411871</v>
      </c>
      <c r="G113" s="133">
        <f t="shared" si="98"/>
        <v>-3.9804569026718258E-2</v>
      </c>
      <c r="H113" s="276">
        <v>82884.845732263406</v>
      </c>
      <c r="I113" s="275">
        <v>80596.548344480005</v>
      </c>
      <c r="J113" s="287">
        <v>-2288.2973877834011</v>
      </c>
      <c r="K113" s="133">
        <f t="shared" si="99"/>
        <v>-2.8392002322517883E-2</v>
      </c>
      <c r="N113" s="164" t="s">
        <v>108</v>
      </c>
      <c r="O113" s="288">
        <v>16</v>
      </c>
      <c r="P113" s="289">
        <v>57780.274648842758</v>
      </c>
      <c r="Q113" s="290">
        <v>56088</v>
      </c>
      <c r="R113" s="290">
        <v>-1692.2746488427583</v>
      </c>
      <c r="S113" s="181">
        <v>-3.0171777364904406E-2</v>
      </c>
      <c r="T113" s="291">
        <v>77062.832861656992</v>
      </c>
      <c r="U113" s="277">
        <v>74521.560040640004</v>
      </c>
      <c r="V113" s="290">
        <v>-2541.272821016988</v>
      </c>
      <c r="W113" s="182">
        <v>-3.4101175815845992E-2</v>
      </c>
      <c r="Z113" s="292" t="s">
        <v>108</v>
      </c>
      <c r="AA113" s="189">
        <f t="shared" si="100"/>
        <v>62625.349583341187</v>
      </c>
      <c r="AB113" s="189">
        <f t="shared" si="101"/>
        <v>60228</v>
      </c>
      <c r="AC113" s="189">
        <f t="shared" si="102"/>
        <v>82884.845732263406</v>
      </c>
      <c r="AD113" s="189">
        <f t="shared" si="103"/>
        <v>80596.548344480005</v>
      </c>
      <c r="AE113" s="189">
        <f t="shared" si="104"/>
        <v>57780.274648842758</v>
      </c>
      <c r="AF113" s="189">
        <f t="shared" si="105"/>
        <v>56088</v>
      </c>
      <c r="AG113" s="189">
        <f t="shared" si="106"/>
        <v>77062.832861656992</v>
      </c>
      <c r="AH113" s="189">
        <f t="shared" si="107"/>
        <v>74521.560040640004</v>
      </c>
      <c r="AI113" s="206">
        <f t="shared" si="109"/>
        <v>4845.0749344984288</v>
      </c>
      <c r="AJ113" s="206">
        <f t="shared" si="109"/>
        <v>4140</v>
      </c>
      <c r="AK113" s="189">
        <f t="shared" si="109"/>
        <v>5822.0128706064133</v>
      </c>
      <c r="AL113" s="189">
        <f t="shared" si="109"/>
        <v>6074.9883038400003</v>
      </c>
      <c r="AM113" s="219">
        <f t="shared" si="108"/>
        <v>8.3853442441112855E-2</v>
      </c>
      <c r="AN113" s="214">
        <f t="shared" si="108"/>
        <v>7.3812580231065475E-2</v>
      </c>
      <c r="AO113" s="214">
        <f t="shared" si="108"/>
        <v>7.5548908006769958E-2</v>
      </c>
      <c r="AP113" s="214">
        <f t="shared" si="108"/>
        <v>8.1519875597438271E-2</v>
      </c>
    </row>
    <row r="114" spans="1:55" ht="15" customHeight="1" x14ac:dyDescent="0.25">
      <c r="A114" s="15">
        <v>613</v>
      </c>
      <c r="B114" s="56" t="s">
        <v>109</v>
      </c>
      <c r="C114" s="285">
        <v>13</v>
      </c>
      <c r="D114" s="286">
        <v>73368.800889877632</v>
      </c>
      <c r="E114" s="287">
        <v>63258</v>
      </c>
      <c r="F114" s="287">
        <v>-10110.800889877632</v>
      </c>
      <c r="G114" s="133">
        <f t="shared" si="98"/>
        <v>-0.15983434332223009</v>
      </c>
      <c r="H114" s="276">
        <v>95930.461052570754</v>
      </c>
      <c r="I114" s="275">
        <v>84010.331659279997</v>
      </c>
      <c r="J114" s="287">
        <v>-11920.129393290757</v>
      </c>
      <c r="K114" s="133">
        <f t="shared" si="99"/>
        <v>-0.14188885054799125</v>
      </c>
      <c r="N114" s="164" t="s">
        <v>109</v>
      </c>
      <c r="O114" s="288">
        <v>8</v>
      </c>
      <c r="P114" s="289">
        <v>61317.413596965329</v>
      </c>
      <c r="Q114" s="290">
        <v>54696</v>
      </c>
      <c r="R114" s="290">
        <v>-6621.4135969653289</v>
      </c>
      <c r="S114" s="181">
        <v>-0.12105846125795906</v>
      </c>
      <c r="T114" s="291">
        <v>84629.091982806436</v>
      </c>
      <c r="U114" s="277">
        <v>72947.455426879998</v>
      </c>
      <c r="V114" s="290">
        <v>-11681.636555926438</v>
      </c>
      <c r="W114" s="182">
        <v>-0.16013768386528171</v>
      </c>
      <c r="Z114" s="292" t="s">
        <v>109</v>
      </c>
      <c r="AA114" s="189">
        <f t="shared" si="100"/>
        <v>73368.800889877632</v>
      </c>
      <c r="AB114" s="189">
        <f t="shared" si="101"/>
        <v>63258</v>
      </c>
      <c r="AC114" s="189">
        <f t="shared" si="102"/>
        <v>95930.461052570754</v>
      </c>
      <c r="AD114" s="189">
        <f t="shared" si="103"/>
        <v>84010.331659279997</v>
      </c>
      <c r="AE114" s="189">
        <f t="shared" si="104"/>
        <v>61317.413596965329</v>
      </c>
      <c r="AF114" s="189">
        <f t="shared" si="105"/>
        <v>54696</v>
      </c>
      <c r="AG114" s="189">
        <f t="shared" si="106"/>
        <v>84629.091982806436</v>
      </c>
      <c r="AH114" s="189">
        <f t="shared" si="107"/>
        <v>72947.455426879998</v>
      </c>
      <c r="AI114" s="206">
        <f t="shared" si="109"/>
        <v>12051.387292912303</v>
      </c>
      <c r="AJ114" s="206">
        <f t="shared" si="109"/>
        <v>8562</v>
      </c>
      <c r="AK114" s="189">
        <f t="shared" si="109"/>
        <v>11301.369069764318</v>
      </c>
      <c r="AL114" s="189">
        <f t="shared" si="109"/>
        <v>11062.876232399998</v>
      </c>
      <c r="AM114" s="219">
        <f t="shared" si="108"/>
        <v>0.19654102457949629</v>
      </c>
      <c r="AN114" s="214">
        <f t="shared" si="108"/>
        <v>0.15653795524352787</v>
      </c>
      <c r="AO114" s="214">
        <f t="shared" si="108"/>
        <v>0.133540001493344</v>
      </c>
      <c r="AP114" s="214">
        <f t="shared" si="108"/>
        <v>0.15165540960491819</v>
      </c>
    </row>
    <row r="115" spans="1:55" ht="15" customHeight="1" x14ac:dyDescent="0.25">
      <c r="A115" s="14"/>
      <c r="B115" s="62" t="s">
        <v>680</v>
      </c>
      <c r="C115" s="63"/>
      <c r="D115" s="124">
        <v>80426.38419749793</v>
      </c>
      <c r="E115" s="124">
        <v>66680.571428571435</v>
      </c>
      <c r="F115" s="124">
        <v>-13745.812768926495</v>
      </c>
      <c r="G115" s="125">
        <f t="shared" si="98"/>
        <v>-0.20614419574449927</v>
      </c>
      <c r="H115" s="126">
        <v>103811.90133094098</v>
      </c>
      <c r="I115" s="127">
        <v>87866.409955177136</v>
      </c>
      <c r="J115" s="124">
        <v>-15945.491375763842</v>
      </c>
      <c r="K115" s="125">
        <f t="shared" si="99"/>
        <v>-0.18147425601999714</v>
      </c>
      <c r="N115" s="183" t="s">
        <v>680</v>
      </c>
      <c r="O115" s="184"/>
      <c r="P115" s="185">
        <v>71738.693383071703</v>
      </c>
      <c r="Q115" s="185">
        <v>59237.538461538461</v>
      </c>
      <c r="R115" s="185">
        <v>-12501.154921533242</v>
      </c>
      <c r="S115" s="186">
        <v>-0.21103434150374001</v>
      </c>
      <c r="T115" s="201">
        <v>93394.341407730928</v>
      </c>
      <c r="U115" s="187">
        <v>78083.128304664613</v>
      </c>
      <c r="V115" s="185">
        <v>-15311.213103066315</v>
      </c>
      <c r="W115" s="188">
        <v>-0.19608862292664622</v>
      </c>
      <c r="Z115" s="209" t="s">
        <v>680</v>
      </c>
      <c r="AA115" s="204">
        <f t="shared" ref="AA115:AH115" si="110">AVERAGE(AA101:AA114)</f>
        <v>77262.694084809933</v>
      </c>
      <c r="AB115" s="204">
        <f t="shared" si="110"/>
        <v>64219.384615384617</v>
      </c>
      <c r="AC115" s="204">
        <f t="shared" si="110"/>
        <v>100252.30468888253</v>
      </c>
      <c r="AD115" s="204">
        <f t="shared" si="110"/>
        <v>85093.486365255405</v>
      </c>
      <c r="AE115" s="204">
        <f t="shared" si="110"/>
        <v>71738.693383071703</v>
      </c>
      <c r="AF115" s="204">
        <f t="shared" si="110"/>
        <v>59237.538461538461</v>
      </c>
      <c r="AG115" s="204">
        <f t="shared" si="110"/>
        <v>93394.341407730928</v>
      </c>
      <c r="AH115" s="204">
        <f t="shared" si="110"/>
        <v>78083.128304664613</v>
      </c>
      <c r="AI115" s="210">
        <f t="shared" si="109"/>
        <v>5524.0007017382304</v>
      </c>
      <c r="AJ115" s="210">
        <f t="shared" si="109"/>
        <v>4981.8461538461561</v>
      </c>
      <c r="AK115" s="204">
        <f t="shared" si="109"/>
        <v>6857.9632811516058</v>
      </c>
      <c r="AL115" s="204">
        <f t="shared" si="109"/>
        <v>7010.3580605907919</v>
      </c>
      <c r="AM115" s="220">
        <f t="shared" ref="AM115:AP115" si="111">AI115/AE115</f>
        <v>7.7001691015489523E-2</v>
      </c>
      <c r="AN115" s="215">
        <f t="shared" si="111"/>
        <v>8.409947954000066E-2</v>
      </c>
      <c r="AO115" s="215">
        <f t="shared" si="111"/>
        <v>7.3430179792283667E-2</v>
      </c>
      <c r="AP115" s="215">
        <f t="shared" si="111"/>
        <v>8.9780701834047794E-2</v>
      </c>
      <c r="AQ115" s="14"/>
      <c r="AR115" s="14"/>
      <c r="AS115" s="14"/>
      <c r="AT115" s="14"/>
      <c r="AU115" s="14"/>
      <c r="AV115" s="14"/>
      <c r="AW115" s="14"/>
      <c r="AX115" s="14"/>
      <c r="AY115" s="14"/>
      <c r="AZ115" s="14"/>
      <c r="BA115" s="14"/>
      <c r="BB115" s="14"/>
      <c r="BC115" s="14"/>
    </row>
    <row r="116" spans="1:55" ht="15" customHeight="1" x14ac:dyDescent="0.25">
      <c r="AI116" s="158"/>
      <c r="AJ116" s="158"/>
      <c r="AK116" s="159"/>
      <c r="AL116" s="159"/>
    </row>
    <row r="117" spans="1:55" ht="15" customHeight="1" x14ac:dyDescent="0.25">
      <c r="AI117" s="158"/>
      <c r="AJ117" s="158"/>
      <c r="AK117" s="159"/>
      <c r="AL117" s="159"/>
      <c r="AM117" s="159"/>
      <c r="AN117" s="159"/>
      <c r="AO117" s="159"/>
      <c r="AP117" s="159"/>
    </row>
    <row r="118" spans="1:55" ht="15" customHeight="1" x14ac:dyDescent="0.25">
      <c r="AA118" s="528"/>
      <c r="AB118" s="47"/>
      <c r="AC118" s="47"/>
      <c r="AD118" s="47"/>
      <c r="AE118" s="47"/>
      <c r="AF118" s="47"/>
      <c r="AG118" s="47"/>
      <c r="AH118" s="47"/>
      <c r="AI118" s="156" t="s">
        <v>926</v>
      </c>
      <c r="AJ118" s="158"/>
      <c r="AK118" s="159"/>
      <c r="AL118" s="159"/>
      <c r="AM118" s="156" t="s">
        <v>927</v>
      </c>
      <c r="AN118" s="157"/>
      <c r="AO118" s="157"/>
      <c r="AP118" s="157"/>
    </row>
    <row r="119" spans="1:55" ht="15" customHeight="1" x14ac:dyDescent="0.25">
      <c r="B119" s="110" t="s">
        <v>6</v>
      </c>
      <c r="C119" s="302" t="s">
        <v>765</v>
      </c>
      <c r="D119" s="303"/>
      <c r="E119" s="303"/>
      <c r="F119" s="304"/>
      <c r="G119" s="303"/>
      <c r="H119" s="303" t="s">
        <v>435</v>
      </c>
      <c r="I119" s="303"/>
      <c r="J119" s="303"/>
      <c r="K119" s="305"/>
      <c r="N119" s="293"/>
      <c r="O119" s="297" t="s">
        <v>693</v>
      </c>
      <c r="P119" s="296"/>
      <c r="Q119" s="296"/>
      <c r="R119" s="296"/>
      <c r="S119" s="296"/>
      <c r="T119" s="296" t="s">
        <v>700</v>
      </c>
      <c r="U119" s="296"/>
      <c r="V119" s="296"/>
      <c r="W119" s="296"/>
      <c r="Z119" t="s">
        <v>6</v>
      </c>
      <c r="AA119" s="156" t="s">
        <v>691</v>
      </c>
      <c r="AB119" s="526"/>
      <c r="AC119" s="526"/>
      <c r="AD119" s="526"/>
      <c r="AE119" s="526"/>
      <c r="AF119" s="526"/>
      <c r="AG119" s="526"/>
      <c r="AH119" s="526"/>
      <c r="AI119" s="526" t="s">
        <v>693</v>
      </c>
      <c r="AJ119" s="526"/>
      <c r="AK119" s="526" t="s">
        <v>700</v>
      </c>
      <c r="AL119" s="526"/>
      <c r="AM119" s="526" t="s">
        <v>693</v>
      </c>
      <c r="AN119" s="526"/>
      <c r="AO119" s="526" t="s">
        <v>700</v>
      </c>
      <c r="AP119" s="526"/>
    </row>
    <row r="120" spans="1:55" ht="15" customHeight="1" x14ac:dyDescent="0.25">
      <c r="B120" s="111" t="s">
        <v>679</v>
      </c>
      <c r="C120" s="113" t="s">
        <v>935</v>
      </c>
      <c r="D120" s="112" t="s">
        <v>733</v>
      </c>
      <c r="E120" s="130" t="s">
        <v>934</v>
      </c>
      <c r="F120" s="130" t="s">
        <v>936</v>
      </c>
      <c r="G120" s="130" t="s">
        <v>734</v>
      </c>
      <c r="H120" s="131" t="s">
        <v>733</v>
      </c>
      <c r="I120" s="130" t="s">
        <v>934</v>
      </c>
      <c r="J120" s="130" t="s">
        <v>936</v>
      </c>
      <c r="K120" s="132" t="s">
        <v>735</v>
      </c>
      <c r="N120" s="160" t="s">
        <v>679</v>
      </c>
      <c r="O120" s="161" t="s">
        <v>697</v>
      </c>
      <c r="P120" s="161" t="s">
        <v>733</v>
      </c>
      <c r="Q120" s="162" t="s">
        <v>698</v>
      </c>
      <c r="R120" s="162" t="s">
        <v>699</v>
      </c>
      <c r="S120" s="162" t="s">
        <v>734</v>
      </c>
      <c r="T120" s="200" t="s">
        <v>733</v>
      </c>
      <c r="U120" s="162" t="s">
        <v>698</v>
      </c>
      <c r="V120" s="162" t="s">
        <v>699</v>
      </c>
      <c r="W120" s="163" t="s">
        <v>735</v>
      </c>
      <c r="Z120" s="205" t="s">
        <v>679</v>
      </c>
      <c r="AA120" s="271" t="s">
        <v>922</v>
      </c>
      <c r="AB120" s="271" t="s">
        <v>923</v>
      </c>
      <c r="AC120" s="271" t="s">
        <v>924</v>
      </c>
      <c r="AD120" s="271" t="s">
        <v>925</v>
      </c>
      <c r="AE120" s="272" t="s">
        <v>928</v>
      </c>
      <c r="AF120" s="272" t="s">
        <v>929</v>
      </c>
      <c r="AG120" s="272" t="s">
        <v>930</v>
      </c>
      <c r="AH120" s="272" t="s">
        <v>931</v>
      </c>
      <c r="AI120" s="273" t="s">
        <v>687</v>
      </c>
      <c r="AJ120" s="273" t="s">
        <v>688</v>
      </c>
      <c r="AK120" s="273" t="s">
        <v>689</v>
      </c>
      <c r="AL120" s="273" t="s">
        <v>690</v>
      </c>
      <c r="AM120" s="218" t="s">
        <v>687</v>
      </c>
      <c r="AN120" s="273" t="s">
        <v>688</v>
      </c>
      <c r="AO120" s="273" t="s">
        <v>689</v>
      </c>
      <c r="AP120" s="273" t="s">
        <v>690</v>
      </c>
    </row>
    <row r="121" spans="1:55" ht="15" customHeight="1" x14ac:dyDescent="0.25">
      <c r="A121" s="15">
        <v>700</v>
      </c>
      <c r="B121" s="56" t="s">
        <v>110</v>
      </c>
      <c r="C121" s="285">
        <v>17</v>
      </c>
      <c r="D121" s="286">
        <v>72179.498350877198</v>
      </c>
      <c r="E121" s="287">
        <v>63258</v>
      </c>
      <c r="F121" s="287">
        <v>-8921.4983508771984</v>
      </c>
      <c r="G121" s="133">
        <f t="shared" ref="G121:G168" si="112">IFERROR(F121/E121,"--")</f>
        <v>-0.1410335190944576</v>
      </c>
      <c r="H121" s="276">
        <v>93179.180728102277</v>
      </c>
      <c r="I121" s="275">
        <v>84010.331659279997</v>
      </c>
      <c r="J121" s="287">
        <v>-9168.849068822281</v>
      </c>
      <c r="K121" s="133">
        <f t="shared" ref="K121:K168" si="113">IFERROR(J121/I121,"--")</f>
        <v>-0.10913954138412768</v>
      </c>
      <c r="N121" s="164" t="s">
        <v>110</v>
      </c>
      <c r="O121" s="288">
        <v>16</v>
      </c>
      <c r="P121" s="289">
        <v>67667.998976828574</v>
      </c>
      <c r="Q121" s="290">
        <v>58908</v>
      </c>
      <c r="R121" s="290">
        <v>-8759.9989768285741</v>
      </c>
      <c r="S121" s="181">
        <v>-0.14870644015801884</v>
      </c>
      <c r="T121" s="291">
        <v>86529.530661900048</v>
      </c>
      <c r="U121" s="277">
        <v>77710.478870239996</v>
      </c>
      <c r="V121" s="290">
        <v>-8819.0517916600511</v>
      </c>
      <c r="W121" s="182">
        <v>-0.11348600497477304</v>
      </c>
      <c r="Z121" s="292" t="s">
        <v>110</v>
      </c>
      <c r="AA121" s="189">
        <f t="shared" ref="AA121:AA167" si="114">IF($D121="-","-",IF($P121="-","-",D121))</f>
        <v>72179.498350877198</v>
      </c>
      <c r="AB121" s="189">
        <f t="shared" ref="AB121:AB167" si="115">IF($D121="-","-",IF($P121="-","-",E121))</f>
        <v>63258</v>
      </c>
      <c r="AC121" s="189">
        <f t="shared" ref="AC121:AC167" si="116">IF($D121="-","-",IF($P121="-","-",H121))</f>
        <v>93179.180728102277</v>
      </c>
      <c r="AD121" s="189">
        <f t="shared" ref="AD121:AD167" si="117">IF($D121="-","-",IF($P121="-","-",I121))</f>
        <v>84010.331659279997</v>
      </c>
      <c r="AE121" s="189">
        <f t="shared" ref="AE121:AE167" si="118">IF($D121="-","-",IF($P121="-","-",P121))</f>
        <v>67667.998976828574</v>
      </c>
      <c r="AF121" s="189">
        <f t="shared" ref="AF121:AF167" si="119">IF($D121="-","-",IF($P121="-","-",Q121))</f>
        <v>58908</v>
      </c>
      <c r="AG121" s="189">
        <f t="shared" ref="AG121:AG167" si="120">IF($D121="-","-",IF($P121="-","-",T121))</f>
        <v>86529.530661900048</v>
      </c>
      <c r="AH121" s="189">
        <f t="shared" ref="AH121:AH167" si="121">IF($D121="-","-",IF($P121="-","-",U121))</f>
        <v>77710.478870239996</v>
      </c>
      <c r="AI121" s="206">
        <f>IFERROR(AA121-AE121,"-")</f>
        <v>4511.4993740486243</v>
      </c>
      <c r="AJ121" s="206">
        <f>IFERROR(AB121-AF121,"-")</f>
        <v>4350</v>
      </c>
      <c r="AK121" s="189">
        <f>IFERROR(AC121-AG121,"-")</f>
        <v>6649.6500662022299</v>
      </c>
      <c r="AL121" s="189">
        <f>IFERROR(AD121-AH121,"-")</f>
        <v>6299.8527890400001</v>
      </c>
      <c r="AM121" s="219">
        <f t="shared" ref="AM121:AP167" si="122">IFERROR(AI121/AE121,"-")</f>
        <v>6.6671091834612825E-2</v>
      </c>
      <c r="AN121" s="214">
        <f t="shared" si="122"/>
        <v>7.3843960073334686E-2</v>
      </c>
      <c r="AO121" s="214">
        <f t="shared" si="122"/>
        <v>7.6848331608137893E-2</v>
      </c>
      <c r="AP121" s="214">
        <f t="shared" si="122"/>
        <v>8.1068253350483357E-2</v>
      </c>
    </row>
    <row r="122" spans="1:55" ht="15" customHeight="1" x14ac:dyDescent="0.25">
      <c r="A122" s="15">
        <v>701</v>
      </c>
      <c r="B122" s="56" t="s">
        <v>111</v>
      </c>
      <c r="C122" s="285">
        <v>15</v>
      </c>
      <c r="D122" s="286">
        <v>61509.686685936489</v>
      </c>
      <c r="E122" s="287">
        <v>60228</v>
      </c>
      <c r="F122" s="287">
        <v>-1281.6866859364891</v>
      </c>
      <c r="G122" s="133">
        <f t="shared" si="112"/>
        <v>-2.128057856705335E-2</v>
      </c>
      <c r="H122" s="276">
        <v>81670.52778545364</v>
      </c>
      <c r="I122" s="275">
        <v>80596.548344480005</v>
      </c>
      <c r="J122" s="287">
        <v>-1073.9794409736351</v>
      </c>
      <c r="K122" s="133">
        <f t="shared" si="113"/>
        <v>-1.3325377612739803E-2</v>
      </c>
      <c r="N122" s="164" t="s">
        <v>111</v>
      </c>
      <c r="O122" s="288">
        <v>16</v>
      </c>
      <c r="P122" s="289">
        <v>69511.613692390456</v>
      </c>
      <c r="Q122" s="290">
        <v>53364</v>
      </c>
      <c r="R122" s="290">
        <v>-16147.613692390456</v>
      </c>
      <c r="S122" s="181">
        <v>-0.30259376531726362</v>
      </c>
      <c r="T122" s="291">
        <v>90044.784263799505</v>
      </c>
      <c r="U122" s="277">
        <v>71441.200149919998</v>
      </c>
      <c r="V122" s="290">
        <v>-18603.584113879508</v>
      </c>
      <c r="W122" s="182">
        <v>-0.26040413759622905</v>
      </c>
      <c r="Z122" s="292" t="s">
        <v>111</v>
      </c>
      <c r="AA122" s="189">
        <f t="shared" si="114"/>
        <v>61509.686685936489</v>
      </c>
      <c r="AB122" s="189">
        <f t="shared" si="115"/>
        <v>60228</v>
      </c>
      <c r="AC122" s="189">
        <f t="shared" si="116"/>
        <v>81670.52778545364</v>
      </c>
      <c r="AD122" s="189">
        <f t="shared" si="117"/>
        <v>80596.548344480005</v>
      </c>
      <c r="AE122" s="189">
        <f t="shared" si="118"/>
        <v>69511.613692390456</v>
      </c>
      <c r="AF122" s="189">
        <f t="shared" si="119"/>
        <v>53364</v>
      </c>
      <c r="AG122" s="189">
        <f t="shared" si="120"/>
        <v>90044.784263799505</v>
      </c>
      <c r="AH122" s="189">
        <f t="shared" si="121"/>
        <v>71441.200149919998</v>
      </c>
      <c r="AI122" s="206">
        <f t="shared" ref="AI122:AL137" si="123">IFERROR(AA122-AE122,"-")</f>
        <v>-8001.9270064539669</v>
      </c>
      <c r="AJ122" s="206">
        <f t="shared" si="123"/>
        <v>6864</v>
      </c>
      <c r="AK122" s="189">
        <f t="shared" si="123"/>
        <v>-8374.2564783458656</v>
      </c>
      <c r="AL122" s="189">
        <f t="shared" si="123"/>
        <v>9155.348194560007</v>
      </c>
      <c r="AM122" s="219">
        <f t="shared" si="122"/>
        <v>-0.11511640402803583</v>
      </c>
      <c r="AN122" s="214">
        <f t="shared" si="122"/>
        <v>0.1286260400269845</v>
      </c>
      <c r="AO122" s="214">
        <f t="shared" si="122"/>
        <v>-9.3001016625374369E-2</v>
      </c>
      <c r="AP122" s="214">
        <f t="shared" si="122"/>
        <v>0.12815221714287311</v>
      </c>
    </row>
    <row r="123" spans="1:55" ht="15" customHeight="1" x14ac:dyDescent="0.25">
      <c r="A123" s="15">
        <v>703</v>
      </c>
      <c r="B123" s="56" t="s">
        <v>112</v>
      </c>
      <c r="C123" s="285">
        <v>14</v>
      </c>
      <c r="D123" s="286">
        <v>78589.018245514133</v>
      </c>
      <c r="E123" s="287">
        <v>69864</v>
      </c>
      <c r="F123" s="287">
        <v>-8725.018245514133</v>
      </c>
      <c r="G123" s="133">
        <f t="shared" si="112"/>
        <v>-0.1248857529702584</v>
      </c>
      <c r="H123" s="276">
        <v>101007.94491753147</v>
      </c>
      <c r="I123" s="275">
        <v>91453.055282240006</v>
      </c>
      <c r="J123" s="287">
        <v>-9554.8896352914599</v>
      </c>
      <c r="K123" s="133">
        <f t="shared" si="113"/>
        <v>-0.10447862682994474</v>
      </c>
      <c r="N123" s="164" t="s">
        <v>112</v>
      </c>
      <c r="O123" s="288">
        <v>16</v>
      </c>
      <c r="P123" s="289">
        <v>76109.378000730954</v>
      </c>
      <c r="Q123" s="290">
        <v>65064</v>
      </c>
      <c r="R123" s="290">
        <v>-11045.378000730954</v>
      </c>
      <c r="S123" s="181">
        <v>-0.16976174229575425</v>
      </c>
      <c r="T123" s="291">
        <v>98422.11366951144</v>
      </c>
      <c r="U123" s="277">
        <v>84671.820825920004</v>
      </c>
      <c r="V123" s="290">
        <v>-13750.292843591436</v>
      </c>
      <c r="W123" s="182">
        <v>-0.16239514763549473</v>
      </c>
      <c r="Z123" s="292" t="s">
        <v>112</v>
      </c>
      <c r="AA123" s="189">
        <f t="shared" si="114"/>
        <v>78589.018245514133</v>
      </c>
      <c r="AB123" s="189">
        <f t="shared" si="115"/>
        <v>69864</v>
      </c>
      <c r="AC123" s="189">
        <f t="shared" si="116"/>
        <v>101007.94491753147</v>
      </c>
      <c r="AD123" s="189">
        <f t="shared" si="117"/>
        <v>91453.055282240006</v>
      </c>
      <c r="AE123" s="189">
        <f t="shared" si="118"/>
        <v>76109.378000730954</v>
      </c>
      <c r="AF123" s="189">
        <f t="shared" si="119"/>
        <v>65064</v>
      </c>
      <c r="AG123" s="189">
        <f t="shared" si="120"/>
        <v>98422.11366951144</v>
      </c>
      <c r="AH123" s="189">
        <f t="shared" si="121"/>
        <v>84671.820825920004</v>
      </c>
      <c r="AI123" s="206">
        <f t="shared" si="123"/>
        <v>2479.6402447831788</v>
      </c>
      <c r="AJ123" s="206">
        <f t="shared" si="123"/>
        <v>4800</v>
      </c>
      <c r="AK123" s="189">
        <f t="shared" si="123"/>
        <v>2585.8312480200257</v>
      </c>
      <c r="AL123" s="189">
        <f t="shared" si="123"/>
        <v>6781.2344563200022</v>
      </c>
      <c r="AM123" s="219">
        <f t="shared" si="122"/>
        <v>3.2579956766423245E-2</v>
      </c>
      <c r="AN123" s="214">
        <f t="shared" si="122"/>
        <v>7.3773515308004425E-2</v>
      </c>
      <c r="AO123" s="214">
        <f t="shared" si="122"/>
        <v>2.6272868480582606E-2</v>
      </c>
      <c r="AP123" s="214">
        <f t="shared" si="122"/>
        <v>8.0088444894338556E-2</v>
      </c>
    </row>
    <row r="124" spans="1:55" ht="15" customHeight="1" x14ac:dyDescent="0.25">
      <c r="A124" s="15">
        <v>704</v>
      </c>
      <c r="B124" s="56" t="s">
        <v>113</v>
      </c>
      <c r="C124" s="285">
        <v>10</v>
      </c>
      <c r="D124" s="286">
        <v>85430.317023637181</v>
      </c>
      <c r="E124" s="287">
        <v>58734</v>
      </c>
      <c r="F124" s="287">
        <v>-26696.317023637181</v>
      </c>
      <c r="G124" s="133">
        <f t="shared" si="112"/>
        <v>-0.45452918281808119</v>
      </c>
      <c r="H124" s="276">
        <v>106358.77820305993</v>
      </c>
      <c r="I124" s="275">
        <v>78913.316571439995</v>
      </c>
      <c r="J124" s="287">
        <v>-27445.461631619939</v>
      </c>
      <c r="K124" s="133">
        <f t="shared" si="113"/>
        <v>-0.3477925250648114</v>
      </c>
      <c r="N124" s="164" t="s">
        <v>113</v>
      </c>
      <c r="O124" s="288">
        <v>10</v>
      </c>
      <c r="P124" s="289">
        <v>76420.317590691309</v>
      </c>
      <c r="Q124" s="290">
        <v>49638</v>
      </c>
      <c r="R124" s="290">
        <v>-26782.317590691309</v>
      </c>
      <c r="S124" s="181">
        <v>-0.53955271345927136</v>
      </c>
      <c r="T124" s="291">
        <v>93757.873958981567</v>
      </c>
      <c r="U124" s="277">
        <v>67227.756334639998</v>
      </c>
      <c r="V124" s="290">
        <v>-26530.117624341568</v>
      </c>
      <c r="W124" s="182">
        <v>-0.39463041860689868</v>
      </c>
      <c r="Z124" s="292" t="s">
        <v>113</v>
      </c>
      <c r="AA124" s="189">
        <f t="shared" si="114"/>
        <v>85430.317023637181</v>
      </c>
      <c r="AB124" s="189">
        <f t="shared" si="115"/>
        <v>58734</v>
      </c>
      <c r="AC124" s="189">
        <f t="shared" si="116"/>
        <v>106358.77820305993</v>
      </c>
      <c r="AD124" s="189">
        <f t="shared" si="117"/>
        <v>78913.316571439995</v>
      </c>
      <c r="AE124" s="189">
        <f t="shared" si="118"/>
        <v>76420.317590691309</v>
      </c>
      <c r="AF124" s="189">
        <f t="shared" si="119"/>
        <v>49638</v>
      </c>
      <c r="AG124" s="189">
        <f t="shared" si="120"/>
        <v>93757.873958981567</v>
      </c>
      <c r="AH124" s="189">
        <f t="shared" si="121"/>
        <v>67227.756334639998</v>
      </c>
      <c r="AI124" s="206">
        <f t="shared" si="123"/>
        <v>9009.9994329458714</v>
      </c>
      <c r="AJ124" s="206">
        <f t="shared" si="123"/>
        <v>9096</v>
      </c>
      <c r="AK124" s="189">
        <f t="shared" si="123"/>
        <v>12600.904244078367</v>
      </c>
      <c r="AL124" s="189">
        <f t="shared" si="123"/>
        <v>11685.560236799996</v>
      </c>
      <c r="AM124" s="219">
        <f t="shared" si="122"/>
        <v>0.11790057561921689</v>
      </c>
      <c r="AN124" s="214">
        <f t="shared" si="122"/>
        <v>0.18324670615254443</v>
      </c>
      <c r="AO124" s="214">
        <f t="shared" si="122"/>
        <v>0.13439835730054178</v>
      </c>
      <c r="AP124" s="214">
        <f t="shared" si="122"/>
        <v>0.17382047050079605</v>
      </c>
    </row>
    <row r="125" spans="1:55" ht="15" customHeight="1" x14ac:dyDescent="0.25">
      <c r="A125" s="15">
        <v>705</v>
      </c>
      <c r="B125" s="56" t="s">
        <v>114</v>
      </c>
      <c r="C125" s="285">
        <v>12</v>
      </c>
      <c r="D125" s="286">
        <v>81976.011705926649</v>
      </c>
      <c r="E125" s="287">
        <v>68112</v>
      </c>
      <c r="F125" s="287">
        <v>-13864.011705926649</v>
      </c>
      <c r="G125" s="133">
        <f t="shared" si="112"/>
        <v>-0.2035472707588479</v>
      </c>
      <c r="H125" s="276">
        <v>104407.82410986235</v>
      </c>
      <c r="I125" s="275">
        <v>89479.144929920003</v>
      </c>
      <c r="J125" s="287">
        <v>-14928.679179942352</v>
      </c>
      <c r="K125" s="133">
        <f t="shared" si="113"/>
        <v>-0.16683976128330777</v>
      </c>
      <c r="N125" s="164" t="s">
        <v>114</v>
      </c>
      <c r="O125" s="288">
        <v>11</v>
      </c>
      <c r="P125" s="289">
        <v>76206.684985279688</v>
      </c>
      <c r="Q125" s="290">
        <v>63432</v>
      </c>
      <c r="R125" s="290">
        <v>-12774.684985279688</v>
      </c>
      <c r="S125" s="181">
        <v>-0.20139180516584196</v>
      </c>
      <c r="T125" s="291">
        <v>98171.14140351252</v>
      </c>
      <c r="U125" s="277">
        <v>82826.318864960005</v>
      </c>
      <c r="V125" s="290">
        <v>-15344.822538552515</v>
      </c>
      <c r="W125" s="182">
        <v>-0.18526505522442338</v>
      </c>
      <c r="Z125" s="292" t="s">
        <v>114</v>
      </c>
      <c r="AA125" s="189">
        <f t="shared" si="114"/>
        <v>81976.011705926649</v>
      </c>
      <c r="AB125" s="189">
        <f t="shared" si="115"/>
        <v>68112</v>
      </c>
      <c r="AC125" s="189">
        <f t="shared" si="116"/>
        <v>104407.82410986235</v>
      </c>
      <c r="AD125" s="189">
        <f t="shared" si="117"/>
        <v>89479.144929920003</v>
      </c>
      <c r="AE125" s="189">
        <f t="shared" si="118"/>
        <v>76206.684985279688</v>
      </c>
      <c r="AF125" s="189">
        <f t="shared" si="119"/>
        <v>63432</v>
      </c>
      <c r="AG125" s="189">
        <f t="shared" si="120"/>
        <v>98171.14140351252</v>
      </c>
      <c r="AH125" s="189">
        <f t="shared" si="121"/>
        <v>82826.318864960005</v>
      </c>
      <c r="AI125" s="206">
        <f t="shared" si="123"/>
        <v>5769.3267206469609</v>
      </c>
      <c r="AJ125" s="206">
        <f t="shared" si="123"/>
        <v>4680</v>
      </c>
      <c r="AK125" s="189">
        <f t="shared" si="123"/>
        <v>6236.6827063498349</v>
      </c>
      <c r="AL125" s="189">
        <f t="shared" si="123"/>
        <v>6652.8260649599979</v>
      </c>
      <c r="AM125" s="219">
        <f t="shared" si="122"/>
        <v>7.5706307415962015E-2</v>
      </c>
      <c r="AN125" s="214">
        <f t="shared" si="122"/>
        <v>7.3779795686719635E-2</v>
      </c>
      <c r="AO125" s="214">
        <f t="shared" si="122"/>
        <v>6.3528676729093111E-2</v>
      </c>
      <c r="AP125" s="214">
        <f t="shared" si="122"/>
        <v>8.0322609481253929E-2</v>
      </c>
    </row>
    <row r="126" spans="1:55" ht="15" customHeight="1" x14ac:dyDescent="0.25">
      <c r="A126" s="15">
        <v>706</v>
      </c>
      <c r="B126" s="56" t="s">
        <v>115</v>
      </c>
      <c r="C126" s="285">
        <v>10</v>
      </c>
      <c r="D126" s="286">
        <v>57736.835452668893</v>
      </c>
      <c r="E126" s="287">
        <v>55890</v>
      </c>
      <c r="F126" s="287">
        <v>-1846.8354526688927</v>
      </c>
      <c r="G126" s="133">
        <f t="shared" si="112"/>
        <v>-3.3044112590246782E-2</v>
      </c>
      <c r="H126" s="276">
        <v>78170.066617310455</v>
      </c>
      <c r="I126" s="275">
        <v>75709.092232399998</v>
      </c>
      <c r="J126" s="287">
        <v>-2460.9743849104561</v>
      </c>
      <c r="K126" s="133">
        <f t="shared" si="113"/>
        <v>-3.2505664938580162E-2</v>
      </c>
      <c r="N126" s="164" t="s">
        <v>115</v>
      </c>
      <c r="O126" s="288">
        <v>8</v>
      </c>
      <c r="P126" s="289">
        <v>56916.620213829097</v>
      </c>
      <c r="Q126" s="290">
        <v>49638</v>
      </c>
      <c r="R126" s="290">
        <v>-7278.6202138290973</v>
      </c>
      <c r="S126" s="181">
        <v>-0.14663403468772104</v>
      </c>
      <c r="T126" s="291">
        <v>73959.224282862357</v>
      </c>
      <c r="U126" s="277">
        <v>67227.756334639998</v>
      </c>
      <c r="V126" s="290">
        <v>-6731.4679482223582</v>
      </c>
      <c r="W126" s="182">
        <v>-0.10012929651727615</v>
      </c>
      <c r="Z126" s="292" t="s">
        <v>115</v>
      </c>
      <c r="AA126" s="189">
        <f t="shared" si="114"/>
        <v>57736.835452668893</v>
      </c>
      <c r="AB126" s="189">
        <f t="shared" si="115"/>
        <v>55890</v>
      </c>
      <c r="AC126" s="189">
        <f t="shared" si="116"/>
        <v>78170.066617310455</v>
      </c>
      <c r="AD126" s="189">
        <f t="shared" si="117"/>
        <v>75709.092232399998</v>
      </c>
      <c r="AE126" s="189">
        <f t="shared" si="118"/>
        <v>56916.620213829097</v>
      </c>
      <c r="AF126" s="189">
        <f t="shared" si="119"/>
        <v>49638</v>
      </c>
      <c r="AG126" s="189">
        <f t="shared" si="120"/>
        <v>73959.224282862357</v>
      </c>
      <c r="AH126" s="189">
        <f t="shared" si="121"/>
        <v>67227.756334639998</v>
      </c>
      <c r="AI126" s="206">
        <f t="shared" si="123"/>
        <v>820.21523883979535</v>
      </c>
      <c r="AJ126" s="206">
        <f t="shared" si="123"/>
        <v>6252</v>
      </c>
      <c r="AK126" s="189">
        <f t="shared" si="123"/>
        <v>4210.842334448098</v>
      </c>
      <c r="AL126" s="189">
        <f t="shared" si="123"/>
        <v>8481.3358977600001</v>
      </c>
      <c r="AM126" s="219">
        <f t="shared" si="122"/>
        <v>1.4410821228638357E-2</v>
      </c>
      <c r="AN126" s="214">
        <f t="shared" si="122"/>
        <v>0.12595189169587817</v>
      </c>
      <c r="AO126" s="214">
        <f t="shared" si="122"/>
        <v>5.6934647101535701E-2</v>
      </c>
      <c r="AP126" s="214">
        <f t="shared" si="122"/>
        <v>0.12615824713147356</v>
      </c>
    </row>
    <row r="127" spans="1:55" ht="15" customHeight="1" x14ac:dyDescent="0.25">
      <c r="A127" s="15">
        <v>707</v>
      </c>
      <c r="B127" s="56" t="s">
        <v>116</v>
      </c>
      <c r="C127" s="285">
        <v>13</v>
      </c>
      <c r="D127" s="286">
        <v>104381.72941973359</v>
      </c>
      <c r="E127" s="287">
        <v>93912</v>
      </c>
      <c r="F127" s="287">
        <v>-10469.729419733587</v>
      </c>
      <c r="G127" s="133">
        <f t="shared" si="112"/>
        <v>-0.11148446864866669</v>
      </c>
      <c r="H127" s="276">
        <v>128613.56320424046</v>
      </c>
      <c r="I127" s="275">
        <v>118547.00285792</v>
      </c>
      <c r="J127" s="287">
        <v>-10066.560346320461</v>
      </c>
      <c r="K127" s="133">
        <f t="shared" si="113"/>
        <v>-8.4916194451456137E-2</v>
      </c>
      <c r="N127" s="164" t="s">
        <v>116</v>
      </c>
      <c r="O127" s="288">
        <v>11</v>
      </c>
      <c r="P127" s="289">
        <v>92795.24376574441</v>
      </c>
      <c r="Q127" s="290">
        <v>71784</v>
      </c>
      <c r="R127" s="290">
        <v>-21011.24376574441</v>
      </c>
      <c r="S127" s="181">
        <v>-0.29270093287841875</v>
      </c>
      <c r="T127" s="291">
        <v>112815.83184748591</v>
      </c>
      <c r="U127" s="277">
        <v>92270.946547519998</v>
      </c>
      <c r="V127" s="290">
        <v>-20544.885299965914</v>
      </c>
      <c r="W127" s="182">
        <v>-0.22265822632896906</v>
      </c>
      <c r="Z127" s="292" t="s">
        <v>116</v>
      </c>
      <c r="AA127" s="189">
        <f t="shared" si="114"/>
        <v>104381.72941973359</v>
      </c>
      <c r="AB127" s="189">
        <f t="shared" si="115"/>
        <v>93912</v>
      </c>
      <c r="AC127" s="189">
        <f t="shared" si="116"/>
        <v>128613.56320424046</v>
      </c>
      <c r="AD127" s="189">
        <f t="shared" si="117"/>
        <v>118547.00285792</v>
      </c>
      <c r="AE127" s="189">
        <f t="shared" si="118"/>
        <v>92795.24376574441</v>
      </c>
      <c r="AF127" s="189">
        <f t="shared" si="119"/>
        <v>71784</v>
      </c>
      <c r="AG127" s="189">
        <f t="shared" si="120"/>
        <v>112815.83184748591</v>
      </c>
      <c r="AH127" s="189">
        <f t="shared" si="121"/>
        <v>92270.946547519998</v>
      </c>
      <c r="AI127" s="206">
        <f t="shared" si="123"/>
        <v>11586.485653989177</v>
      </c>
      <c r="AJ127" s="206">
        <f t="shared" si="123"/>
        <v>22128</v>
      </c>
      <c r="AK127" s="189">
        <f t="shared" si="123"/>
        <v>15797.73135675455</v>
      </c>
      <c r="AL127" s="189">
        <f t="shared" si="123"/>
        <v>26276.056310400003</v>
      </c>
      <c r="AM127" s="219">
        <f t="shared" si="122"/>
        <v>0.12486077070112031</v>
      </c>
      <c r="AN127" s="214">
        <f t="shared" si="122"/>
        <v>0.30825810765630224</v>
      </c>
      <c r="AO127" s="214">
        <f t="shared" si="122"/>
        <v>0.14003115607135064</v>
      </c>
      <c r="AP127" s="214">
        <f t="shared" si="122"/>
        <v>0.28477063792629137</v>
      </c>
    </row>
    <row r="128" spans="1:55" ht="15" customHeight="1" x14ac:dyDescent="0.25">
      <c r="A128" s="15">
        <v>708</v>
      </c>
      <c r="B128" s="56" t="s">
        <v>117</v>
      </c>
      <c r="C128" s="285">
        <v>20</v>
      </c>
      <c r="D128" s="286">
        <v>74224.63158510717</v>
      </c>
      <c r="E128" s="287">
        <v>69864</v>
      </c>
      <c r="F128" s="287">
        <v>-4360.6315851071704</v>
      </c>
      <c r="G128" s="133">
        <f t="shared" si="112"/>
        <v>-6.2416002306011256E-2</v>
      </c>
      <c r="H128" s="276">
        <v>96281.352642757076</v>
      </c>
      <c r="I128" s="275">
        <v>91453.055282240006</v>
      </c>
      <c r="J128" s="287">
        <v>-4828.29736051707</v>
      </c>
      <c r="K128" s="133">
        <f t="shared" si="113"/>
        <v>-5.2795364196593607E-2</v>
      </c>
      <c r="N128" s="164" t="s">
        <v>117</v>
      </c>
      <c r="O128" s="288">
        <v>13</v>
      </c>
      <c r="P128" s="289">
        <v>62694.349564932934</v>
      </c>
      <c r="Q128" s="290">
        <v>60348</v>
      </c>
      <c r="R128" s="290">
        <v>-2346.3495649329343</v>
      </c>
      <c r="S128" s="181">
        <v>-3.8880320224911086E-2</v>
      </c>
      <c r="T128" s="291">
        <v>81115.796531537781</v>
      </c>
      <c r="U128" s="277">
        <v>79338.862953439995</v>
      </c>
      <c r="V128" s="290">
        <v>-1776.9335780977854</v>
      </c>
      <c r="W128" s="182">
        <v>-2.2396761334235137E-2</v>
      </c>
      <c r="Z128" s="292" t="s">
        <v>117</v>
      </c>
      <c r="AA128" s="189">
        <f t="shared" si="114"/>
        <v>74224.63158510717</v>
      </c>
      <c r="AB128" s="189">
        <f t="shared" si="115"/>
        <v>69864</v>
      </c>
      <c r="AC128" s="189">
        <f t="shared" si="116"/>
        <v>96281.352642757076</v>
      </c>
      <c r="AD128" s="189">
        <f t="shared" si="117"/>
        <v>91453.055282240006</v>
      </c>
      <c r="AE128" s="189">
        <f t="shared" si="118"/>
        <v>62694.349564932934</v>
      </c>
      <c r="AF128" s="189">
        <f t="shared" si="119"/>
        <v>60348</v>
      </c>
      <c r="AG128" s="189">
        <f t="shared" si="120"/>
        <v>81115.796531537781</v>
      </c>
      <c r="AH128" s="189">
        <f t="shared" si="121"/>
        <v>79338.862953439995</v>
      </c>
      <c r="AI128" s="206">
        <f t="shared" si="123"/>
        <v>11530.282020174236</v>
      </c>
      <c r="AJ128" s="206">
        <f t="shared" si="123"/>
        <v>9516</v>
      </c>
      <c r="AK128" s="189">
        <f t="shared" si="123"/>
        <v>15165.556111219295</v>
      </c>
      <c r="AL128" s="189">
        <f t="shared" si="123"/>
        <v>12114.192328800011</v>
      </c>
      <c r="AM128" s="219">
        <f t="shared" si="122"/>
        <v>0.18391261892321334</v>
      </c>
      <c r="AN128" s="214">
        <f t="shared" si="122"/>
        <v>0.15768542453768145</v>
      </c>
      <c r="AO128" s="214">
        <f t="shared" si="122"/>
        <v>0.18696180965593964</v>
      </c>
      <c r="AP128" s="214">
        <f t="shared" si="122"/>
        <v>0.15268926069572264</v>
      </c>
    </row>
    <row r="129" spans="1:42" ht="15" customHeight="1" x14ac:dyDescent="0.25">
      <c r="A129" s="15">
        <v>709</v>
      </c>
      <c r="B129" s="56" t="s">
        <v>118</v>
      </c>
      <c r="C129" s="285">
        <v>14</v>
      </c>
      <c r="D129" s="286">
        <v>73887.26063426405</v>
      </c>
      <c r="E129" s="287">
        <v>64800</v>
      </c>
      <c r="F129" s="287">
        <v>-9087.2606342640502</v>
      </c>
      <c r="G129" s="133">
        <f t="shared" si="112"/>
        <v>-0.14023550361518597</v>
      </c>
      <c r="H129" s="276">
        <v>96324.375669450674</v>
      </c>
      <c r="I129" s="275">
        <v>85747.643167999995</v>
      </c>
      <c r="J129" s="287">
        <v>-10576.732501450679</v>
      </c>
      <c r="K129" s="133">
        <f t="shared" si="113"/>
        <v>-0.12334720944724216</v>
      </c>
      <c r="N129" s="164" t="s">
        <v>118</v>
      </c>
      <c r="O129" s="288">
        <v>14</v>
      </c>
      <c r="P129" s="289">
        <v>67773.75739766586</v>
      </c>
      <c r="Q129" s="290">
        <v>60348</v>
      </c>
      <c r="R129" s="290">
        <v>-7425.7573976658605</v>
      </c>
      <c r="S129" s="181">
        <v>-0.12304893944564627</v>
      </c>
      <c r="T129" s="291">
        <v>88741.485826189295</v>
      </c>
      <c r="U129" s="277">
        <v>79338.862953439995</v>
      </c>
      <c r="V129" s="290">
        <v>-9402.6228727492999</v>
      </c>
      <c r="W129" s="182">
        <v>-0.11851219594950874</v>
      </c>
      <c r="Z129" s="292" t="s">
        <v>118</v>
      </c>
      <c r="AA129" s="189">
        <f t="shared" si="114"/>
        <v>73887.26063426405</v>
      </c>
      <c r="AB129" s="189">
        <f t="shared" si="115"/>
        <v>64800</v>
      </c>
      <c r="AC129" s="189">
        <f t="shared" si="116"/>
        <v>96324.375669450674</v>
      </c>
      <c r="AD129" s="189">
        <f t="shared" si="117"/>
        <v>85747.643167999995</v>
      </c>
      <c r="AE129" s="189">
        <f t="shared" si="118"/>
        <v>67773.75739766586</v>
      </c>
      <c r="AF129" s="189">
        <f t="shared" si="119"/>
        <v>60348</v>
      </c>
      <c r="AG129" s="189">
        <f t="shared" si="120"/>
        <v>88741.485826189295</v>
      </c>
      <c r="AH129" s="189">
        <f t="shared" si="121"/>
        <v>79338.862953439995</v>
      </c>
      <c r="AI129" s="206">
        <f t="shared" si="123"/>
        <v>6113.5032365981897</v>
      </c>
      <c r="AJ129" s="206">
        <f t="shared" si="123"/>
        <v>4452</v>
      </c>
      <c r="AK129" s="189">
        <f t="shared" si="123"/>
        <v>7582.8898432613787</v>
      </c>
      <c r="AL129" s="189">
        <f t="shared" si="123"/>
        <v>6408.7802145599999</v>
      </c>
      <c r="AM129" s="219">
        <f t="shared" si="122"/>
        <v>9.0204578753497591E-2</v>
      </c>
      <c r="AN129" s="214">
        <f t="shared" si="122"/>
        <v>7.3772121694173798E-2</v>
      </c>
      <c r="AO129" s="214">
        <f t="shared" si="122"/>
        <v>8.5449209833080395E-2</v>
      </c>
      <c r="AP129" s="214">
        <f t="shared" si="122"/>
        <v>8.0777313613896784E-2</v>
      </c>
    </row>
    <row r="130" spans="1:42" ht="15" customHeight="1" x14ac:dyDescent="0.25">
      <c r="A130" s="15">
        <v>710</v>
      </c>
      <c r="B130" s="56" t="s">
        <v>119</v>
      </c>
      <c r="C130" s="285">
        <v>11</v>
      </c>
      <c r="D130" s="286">
        <v>49834.606310679614</v>
      </c>
      <c r="E130" s="287">
        <v>50766</v>
      </c>
      <c r="F130" s="287">
        <v>931.39368932038633</v>
      </c>
      <c r="G130" s="133">
        <f t="shared" si="112"/>
        <v>1.8346800798179616E-2</v>
      </c>
      <c r="H130" s="276">
        <v>68823.832280885588</v>
      </c>
      <c r="I130" s="275">
        <v>69936.080448559995</v>
      </c>
      <c r="J130" s="287">
        <v>1112.2481676744064</v>
      </c>
      <c r="K130" s="133">
        <f t="shared" si="113"/>
        <v>1.5903781861102396E-2</v>
      </c>
      <c r="N130" s="164" t="s">
        <v>119</v>
      </c>
      <c r="O130" s="288">
        <v>12</v>
      </c>
      <c r="P130" s="289">
        <v>44271.519306509646</v>
      </c>
      <c r="Q130" s="290">
        <v>41916</v>
      </c>
      <c r="R130" s="290">
        <v>-2355.5193065096464</v>
      </c>
      <c r="S130" s="181">
        <v>-5.6196185382900242E-2</v>
      </c>
      <c r="T130" s="291">
        <v>63553.52618936669</v>
      </c>
      <c r="U130" s="277">
        <v>58495.546688479997</v>
      </c>
      <c r="V130" s="290">
        <v>-5057.9795008866931</v>
      </c>
      <c r="W130" s="182">
        <v>-8.6467770406918887E-2</v>
      </c>
      <c r="Z130" s="292" t="s">
        <v>119</v>
      </c>
      <c r="AA130" s="189">
        <f t="shared" si="114"/>
        <v>49834.606310679614</v>
      </c>
      <c r="AB130" s="189">
        <f t="shared" si="115"/>
        <v>50766</v>
      </c>
      <c r="AC130" s="189">
        <f t="shared" si="116"/>
        <v>68823.832280885588</v>
      </c>
      <c r="AD130" s="189">
        <f t="shared" si="117"/>
        <v>69936.080448559995</v>
      </c>
      <c r="AE130" s="189">
        <f t="shared" si="118"/>
        <v>44271.519306509646</v>
      </c>
      <c r="AF130" s="189">
        <f t="shared" si="119"/>
        <v>41916</v>
      </c>
      <c r="AG130" s="189">
        <f t="shared" si="120"/>
        <v>63553.52618936669</v>
      </c>
      <c r="AH130" s="189">
        <f t="shared" si="121"/>
        <v>58495.546688479997</v>
      </c>
      <c r="AI130" s="206">
        <f t="shared" si="123"/>
        <v>5563.0870041699673</v>
      </c>
      <c r="AJ130" s="206">
        <f t="shared" si="123"/>
        <v>8850</v>
      </c>
      <c r="AK130" s="189">
        <f t="shared" si="123"/>
        <v>5270.306091518898</v>
      </c>
      <c r="AL130" s="189">
        <f t="shared" si="123"/>
        <v>11440.533760079998</v>
      </c>
      <c r="AM130" s="219">
        <f t="shared" si="122"/>
        <v>0.12565837114498973</v>
      </c>
      <c r="AN130" s="214">
        <f t="shared" si="122"/>
        <v>0.21113655883194962</v>
      </c>
      <c r="AO130" s="214">
        <f t="shared" si="122"/>
        <v>8.2927044454076046E-2</v>
      </c>
      <c r="AP130" s="214">
        <f t="shared" si="122"/>
        <v>0.19557956815083624</v>
      </c>
    </row>
    <row r="131" spans="1:42" ht="15" customHeight="1" x14ac:dyDescent="0.25">
      <c r="A131" s="15">
        <v>711</v>
      </c>
      <c r="B131" s="56" t="s">
        <v>120</v>
      </c>
      <c r="C131" s="285">
        <v>9</v>
      </c>
      <c r="D131" s="286">
        <v>72787.936403508778</v>
      </c>
      <c r="E131" s="287">
        <v>49560</v>
      </c>
      <c r="F131" s="287">
        <v>-23227.936403508778</v>
      </c>
      <c r="G131" s="133">
        <f t="shared" si="112"/>
        <v>-0.46868313969953146</v>
      </c>
      <c r="H131" s="276">
        <v>92521.518459204148</v>
      </c>
      <c r="I131" s="275">
        <v>68577.327089600003</v>
      </c>
      <c r="J131" s="287">
        <v>-23944.191369604145</v>
      </c>
      <c r="K131" s="133">
        <f t="shared" si="113"/>
        <v>-0.34915608971343776</v>
      </c>
      <c r="N131" s="164" t="s">
        <v>120</v>
      </c>
      <c r="O131" s="288">
        <v>8</v>
      </c>
      <c r="P131" s="289">
        <v>63811.173729472699</v>
      </c>
      <c r="Q131" s="290">
        <v>42900</v>
      </c>
      <c r="R131" s="290">
        <v>-20911.173729472699</v>
      </c>
      <c r="S131" s="181">
        <v>-0.48743994707395571</v>
      </c>
      <c r="T131" s="291">
        <v>79418.851464786276</v>
      </c>
      <c r="U131" s="277">
        <v>59608.275812</v>
      </c>
      <c r="V131" s="290">
        <v>-19810.575652786276</v>
      </c>
      <c r="W131" s="182">
        <v>-0.33234606072598605</v>
      </c>
      <c r="Z131" s="292" t="s">
        <v>120</v>
      </c>
      <c r="AA131" s="189">
        <f t="shared" si="114"/>
        <v>72787.936403508778</v>
      </c>
      <c r="AB131" s="189">
        <f t="shared" si="115"/>
        <v>49560</v>
      </c>
      <c r="AC131" s="189">
        <f t="shared" si="116"/>
        <v>92521.518459204148</v>
      </c>
      <c r="AD131" s="189">
        <f t="shared" si="117"/>
        <v>68577.327089600003</v>
      </c>
      <c r="AE131" s="189">
        <f t="shared" si="118"/>
        <v>63811.173729472699</v>
      </c>
      <c r="AF131" s="189">
        <f t="shared" si="119"/>
        <v>42900</v>
      </c>
      <c r="AG131" s="189">
        <f t="shared" si="120"/>
        <v>79418.851464786276</v>
      </c>
      <c r="AH131" s="189">
        <f t="shared" si="121"/>
        <v>59608.275812</v>
      </c>
      <c r="AI131" s="206">
        <f t="shared" si="123"/>
        <v>8976.7626740360793</v>
      </c>
      <c r="AJ131" s="206">
        <f t="shared" si="123"/>
        <v>6660</v>
      </c>
      <c r="AK131" s="189">
        <f t="shared" si="123"/>
        <v>13102.666994417872</v>
      </c>
      <c r="AL131" s="189">
        <f t="shared" si="123"/>
        <v>8969.0512776000032</v>
      </c>
      <c r="AM131" s="219">
        <f t="shared" si="122"/>
        <v>0.14067697159267184</v>
      </c>
      <c r="AN131" s="214">
        <f t="shared" si="122"/>
        <v>0.15524475524475526</v>
      </c>
      <c r="AO131" s="214">
        <f t="shared" si="122"/>
        <v>0.16498182424896307</v>
      </c>
      <c r="AP131" s="214">
        <f t="shared" si="122"/>
        <v>0.15046654437527623</v>
      </c>
    </row>
    <row r="132" spans="1:42" ht="15" customHeight="1" x14ac:dyDescent="0.25">
      <c r="A132" s="15">
        <v>712</v>
      </c>
      <c r="B132" s="56" t="s">
        <v>121</v>
      </c>
      <c r="C132" s="285">
        <v>5</v>
      </c>
      <c r="D132" s="286">
        <v>48817</v>
      </c>
      <c r="E132" s="287">
        <v>43914</v>
      </c>
      <c r="F132" s="287">
        <v>-4903</v>
      </c>
      <c r="G132" s="133">
        <f t="shared" si="112"/>
        <v>-0.11165004326638429</v>
      </c>
      <c r="H132" s="276">
        <v>63509.68</v>
      </c>
      <c r="I132" s="275">
        <v>62216.198180239997</v>
      </c>
      <c r="J132" s="287">
        <v>-1293.4818197600034</v>
      </c>
      <c r="K132" s="133">
        <f t="shared" si="113"/>
        <v>-2.0790113468727122E-2</v>
      </c>
      <c r="N132" s="164" t="s">
        <v>121</v>
      </c>
      <c r="O132" s="288">
        <v>6</v>
      </c>
      <c r="P132" s="289">
        <v>51127.600000000006</v>
      </c>
      <c r="Q132" s="290">
        <v>40896</v>
      </c>
      <c r="R132" s="290">
        <v>-10231.600000000006</v>
      </c>
      <c r="S132" s="181">
        <v>-0.25018583724569654</v>
      </c>
      <c r="T132" s="291">
        <v>64138.080000000009</v>
      </c>
      <c r="U132" s="277">
        <v>57342.10796288</v>
      </c>
      <c r="V132" s="290">
        <v>-6795.9720371200092</v>
      </c>
      <c r="W132" s="182">
        <v>-0.11851625757321885</v>
      </c>
      <c r="Z132" s="292" t="s">
        <v>121</v>
      </c>
      <c r="AA132" s="189">
        <f t="shared" si="114"/>
        <v>48817</v>
      </c>
      <c r="AB132" s="189">
        <f t="shared" si="115"/>
        <v>43914</v>
      </c>
      <c r="AC132" s="189">
        <f t="shared" si="116"/>
        <v>63509.68</v>
      </c>
      <c r="AD132" s="189">
        <f t="shared" si="117"/>
        <v>62216.198180239997</v>
      </c>
      <c r="AE132" s="189">
        <f t="shared" si="118"/>
        <v>51127.600000000006</v>
      </c>
      <c r="AF132" s="189">
        <f t="shared" si="119"/>
        <v>40896</v>
      </c>
      <c r="AG132" s="189">
        <f t="shared" si="120"/>
        <v>64138.080000000009</v>
      </c>
      <c r="AH132" s="189">
        <f t="shared" si="121"/>
        <v>57342.10796288</v>
      </c>
      <c r="AI132" s="206">
        <f t="shared" si="123"/>
        <v>-2310.6000000000058</v>
      </c>
      <c r="AJ132" s="206">
        <f t="shared" si="123"/>
        <v>3018</v>
      </c>
      <c r="AK132" s="189">
        <f t="shared" si="123"/>
        <v>-628.40000000000873</v>
      </c>
      <c r="AL132" s="189">
        <f t="shared" si="123"/>
        <v>4874.090217359997</v>
      </c>
      <c r="AM132" s="219">
        <f t="shared" si="122"/>
        <v>-4.5192811710309221E-2</v>
      </c>
      <c r="AN132" s="214">
        <f t="shared" si="122"/>
        <v>7.3796948356807515E-2</v>
      </c>
      <c r="AO132" s="214">
        <f t="shared" si="122"/>
        <v>-9.7976116528590909E-3</v>
      </c>
      <c r="AP132" s="214">
        <f t="shared" si="122"/>
        <v>8.5000192537658434E-2</v>
      </c>
    </row>
    <row r="133" spans="1:42" ht="15" customHeight="1" x14ac:dyDescent="0.25">
      <c r="A133" s="15">
        <v>713</v>
      </c>
      <c r="B133" s="56" t="s">
        <v>122</v>
      </c>
      <c r="C133" s="285">
        <v>17</v>
      </c>
      <c r="D133" s="286">
        <v>75270.937792486584</v>
      </c>
      <c r="E133" s="287">
        <v>61710</v>
      </c>
      <c r="F133" s="287">
        <v>-13560.937792486584</v>
      </c>
      <c r="G133" s="133">
        <f t="shared" si="112"/>
        <v>-0.21975267853648653</v>
      </c>
      <c r="H133" s="276">
        <v>97100.876052173262</v>
      </c>
      <c r="I133" s="275">
        <v>82266.260183599996</v>
      </c>
      <c r="J133" s="287">
        <v>-14834.615868573266</v>
      </c>
      <c r="K133" s="133">
        <f t="shared" si="113"/>
        <v>-0.18032442261828485</v>
      </c>
      <c r="N133" s="164" t="s">
        <v>122</v>
      </c>
      <c r="O133" s="288">
        <v>15</v>
      </c>
      <c r="P133" s="289">
        <v>69442.913888503099</v>
      </c>
      <c r="Q133" s="290">
        <v>57462</v>
      </c>
      <c r="R133" s="290">
        <v>-11980.913888503099</v>
      </c>
      <c r="S133" s="181">
        <v>-0.20850151210370504</v>
      </c>
      <c r="T133" s="291">
        <v>88872.002269367105</v>
      </c>
      <c r="U133" s="277">
        <v>76075.309853359999</v>
      </c>
      <c r="V133" s="290">
        <v>-12796.692416007107</v>
      </c>
      <c r="W133" s="182">
        <v>-0.16821084844312229</v>
      </c>
      <c r="Z133" s="292" t="s">
        <v>122</v>
      </c>
      <c r="AA133" s="189">
        <f t="shared" si="114"/>
        <v>75270.937792486584</v>
      </c>
      <c r="AB133" s="189">
        <f t="shared" si="115"/>
        <v>61710</v>
      </c>
      <c r="AC133" s="189">
        <f t="shared" si="116"/>
        <v>97100.876052173262</v>
      </c>
      <c r="AD133" s="189">
        <f t="shared" si="117"/>
        <v>82266.260183599996</v>
      </c>
      <c r="AE133" s="189">
        <f t="shared" si="118"/>
        <v>69442.913888503099</v>
      </c>
      <c r="AF133" s="189">
        <f t="shared" si="119"/>
        <v>57462</v>
      </c>
      <c r="AG133" s="189">
        <f t="shared" si="120"/>
        <v>88872.002269367105</v>
      </c>
      <c r="AH133" s="189">
        <f t="shared" si="121"/>
        <v>76075.309853359999</v>
      </c>
      <c r="AI133" s="206">
        <f t="shared" si="123"/>
        <v>5828.0239039834851</v>
      </c>
      <c r="AJ133" s="206">
        <f t="shared" si="123"/>
        <v>4248</v>
      </c>
      <c r="AK133" s="189">
        <f t="shared" si="123"/>
        <v>8228.8737828061567</v>
      </c>
      <c r="AL133" s="189">
        <f t="shared" si="123"/>
        <v>6190.9503302399971</v>
      </c>
      <c r="AM133" s="219">
        <f t="shared" si="122"/>
        <v>8.3925393933510714E-2</v>
      </c>
      <c r="AN133" s="214">
        <f t="shared" si="122"/>
        <v>7.392711705126867E-2</v>
      </c>
      <c r="AO133" s="214">
        <f t="shared" si="122"/>
        <v>9.2592420252497573E-2</v>
      </c>
      <c r="AP133" s="214">
        <f t="shared" si="122"/>
        <v>8.1379232528575277E-2</v>
      </c>
    </row>
    <row r="134" spans="1:42" ht="15" customHeight="1" x14ac:dyDescent="0.25">
      <c r="A134" s="15">
        <v>714</v>
      </c>
      <c r="B134" s="56" t="s">
        <v>123</v>
      </c>
      <c r="C134" s="285">
        <v>8</v>
      </c>
      <c r="D134" s="286">
        <v>84123.087075660325</v>
      </c>
      <c r="E134" s="287">
        <v>64800</v>
      </c>
      <c r="F134" s="287">
        <v>-19323.087075660325</v>
      </c>
      <c r="G134" s="133">
        <f t="shared" si="112"/>
        <v>-0.29819578820463466</v>
      </c>
      <c r="H134" s="276">
        <v>108862.63129193327</v>
      </c>
      <c r="I134" s="275">
        <v>85747.643167999995</v>
      </c>
      <c r="J134" s="287">
        <v>-23114.988123933275</v>
      </c>
      <c r="K134" s="133">
        <f t="shared" si="113"/>
        <v>-0.26956995282827217</v>
      </c>
      <c r="N134" s="164" t="s">
        <v>123</v>
      </c>
      <c r="O134" s="288">
        <v>9</v>
      </c>
      <c r="P134" s="289">
        <v>77755.657780647336</v>
      </c>
      <c r="Q134" s="290">
        <v>60348</v>
      </c>
      <c r="R134" s="290">
        <v>-17407.657780647336</v>
      </c>
      <c r="S134" s="181">
        <v>-0.28845459303783616</v>
      </c>
      <c r="T134" s="291">
        <v>101032.17032106647</v>
      </c>
      <c r="U134" s="277">
        <v>79338.862953439995</v>
      </c>
      <c r="V134" s="290">
        <v>-21693.307367626476</v>
      </c>
      <c r="W134" s="182">
        <v>-0.27342599276167079</v>
      </c>
      <c r="Z134" s="292" t="s">
        <v>123</v>
      </c>
      <c r="AA134" s="189">
        <f t="shared" si="114"/>
        <v>84123.087075660325</v>
      </c>
      <c r="AB134" s="189">
        <f t="shared" si="115"/>
        <v>64800</v>
      </c>
      <c r="AC134" s="189">
        <f t="shared" si="116"/>
        <v>108862.63129193327</v>
      </c>
      <c r="AD134" s="189">
        <f t="shared" si="117"/>
        <v>85747.643167999995</v>
      </c>
      <c r="AE134" s="189">
        <f t="shared" si="118"/>
        <v>77755.657780647336</v>
      </c>
      <c r="AF134" s="189">
        <f t="shared" si="119"/>
        <v>60348</v>
      </c>
      <c r="AG134" s="189">
        <f t="shared" si="120"/>
        <v>101032.17032106647</v>
      </c>
      <c r="AH134" s="189">
        <f t="shared" si="121"/>
        <v>79338.862953439995</v>
      </c>
      <c r="AI134" s="206">
        <f t="shared" si="123"/>
        <v>6367.4292950129893</v>
      </c>
      <c r="AJ134" s="206">
        <f t="shared" si="123"/>
        <v>4452</v>
      </c>
      <c r="AK134" s="189">
        <f t="shared" si="123"/>
        <v>7830.4609708667995</v>
      </c>
      <c r="AL134" s="189">
        <f t="shared" si="123"/>
        <v>6408.7802145599999</v>
      </c>
      <c r="AM134" s="219">
        <f t="shared" si="122"/>
        <v>8.189023765930746E-2</v>
      </c>
      <c r="AN134" s="214">
        <f t="shared" si="122"/>
        <v>7.3772121694173798E-2</v>
      </c>
      <c r="AO134" s="214">
        <f t="shared" si="122"/>
        <v>7.7504629921169285E-2</v>
      </c>
      <c r="AP134" s="214">
        <f t="shared" si="122"/>
        <v>8.0777313613896784E-2</v>
      </c>
    </row>
    <row r="135" spans="1:42" ht="15" customHeight="1" x14ac:dyDescent="0.25">
      <c r="A135" s="15">
        <v>715</v>
      </c>
      <c r="B135" s="56" t="s">
        <v>124</v>
      </c>
      <c r="C135" s="285">
        <v>4</v>
      </c>
      <c r="D135" s="286" t="s">
        <v>684</v>
      </c>
      <c r="E135" s="287" t="s">
        <v>684</v>
      </c>
      <c r="F135" s="287" t="s">
        <v>484</v>
      </c>
      <c r="G135" s="133" t="str">
        <f t="shared" si="112"/>
        <v>--</v>
      </c>
      <c r="H135" s="276" t="s">
        <v>684</v>
      </c>
      <c r="I135" s="275" t="s">
        <v>684</v>
      </c>
      <c r="J135" s="287" t="s">
        <v>484</v>
      </c>
      <c r="K135" s="133" t="str">
        <f t="shared" si="113"/>
        <v>--</v>
      </c>
      <c r="N135" s="164" t="s">
        <v>124</v>
      </c>
      <c r="O135" s="288">
        <v>4</v>
      </c>
      <c r="P135" s="289" t="s">
        <v>684</v>
      </c>
      <c r="Q135" s="290" t="s">
        <v>684</v>
      </c>
      <c r="R135" s="290" t="s">
        <v>484</v>
      </c>
      <c r="S135" s="181" t="s">
        <v>484</v>
      </c>
      <c r="T135" s="291" t="s">
        <v>684</v>
      </c>
      <c r="U135" s="277" t="s">
        <v>684</v>
      </c>
      <c r="V135" s="290" t="s">
        <v>484</v>
      </c>
      <c r="W135" s="182" t="s">
        <v>484</v>
      </c>
      <c r="Z135" s="292" t="s">
        <v>124</v>
      </c>
      <c r="AA135" s="189" t="str">
        <f t="shared" si="114"/>
        <v>-</v>
      </c>
      <c r="AB135" s="189" t="str">
        <f t="shared" si="115"/>
        <v>-</v>
      </c>
      <c r="AC135" s="189" t="str">
        <f t="shared" si="116"/>
        <v>-</v>
      </c>
      <c r="AD135" s="189" t="str">
        <f t="shared" si="117"/>
        <v>-</v>
      </c>
      <c r="AE135" s="189" t="str">
        <f t="shared" si="118"/>
        <v>-</v>
      </c>
      <c r="AF135" s="189" t="str">
        <f t="shared" si="119"/>
        <v>-</v>
      </c>
      <c r="AG135" s="189" t="str">
        <f t="shared" si="120"/>
        <v>-</v>
      </c>
      <c r="AH135" s="189" t="str">
        <f t="shared" si="121"/>
        <v>-</v>
      </c>
      <c r="AI135" s="206" t="str">
        <f t="shared" si="123"/>
        <v>-</v>
      </c>
      <c r="AJ135" s="206" t="str">
        <f t="shared" si="123"/>
        <v>-</v>
      </c>
      <c r="AK135" s="189" t="str">
        <f t="shared" si="123"/>
        <v>-</v>
      </c>
      <c r="AL135" s="189" t="str">
        <f t="shared" si="123"/>
        <v>-</v>
      </c>
      <c r="AM135" s="219" t="str">
        <f t="shared" si="122"/>
        <v>-</v>
      </c>
      <c r="AN135" s="214" t="str">
        <f t="shared" si="122"/>
        <v>-</v>
      </c>
      <c r="AO135" s="214" t="str">
        <f t="shared" si="122"/>
        <v>-</v>
      </c>
      <c r="AP135" s="214" t="str">
        <f t="shared" si="122"/>
        <v>-</v>
      </c>
    </row>
    <row r="136" spans="1:42" ht="15" customHeight="1" x14ac:dyDescent="0.25">
      <c r="A136" s="15">
        <v>716</v>
      </c>
      <c r="B136" s="56" t="s">
        <v>125</v>
      </c>
      <c r="C136" s="285">
        <v>10</v>
      </c>
      <c r="D136" s="286">
        <v>92881.87000000001</v>
      </c>
      <c r="E136" s="287">
        <v>106386</v>
      </c>
      <c r="F136" s="287">
        <v>13504.12999999999</v>
      </c>
      <c r="G136" s="133">
        <f t="shared" si="112"/>
        <v>0.12693521703983598</v>
      </c>
      <c r="H136" s="276">
        <v>115078.26171484383</v>
      </c>
      <c r="I136" s="275">
        <v>132600.97416776</v>
      </c>
      <c r="J136" s="287">
        <v>17522.712452916167</v>
      </c>
      <c r="K136" s="133">
        <f t="shared" si="113"/>
        <v>0.13214618190321381</v>
      </c>
      <c r="N136" s="164" t="s">
        <v>125</v>
      </c>
      <c r="O136" s="288">
        <v>8</v>
      </c>
      <c r="P136" s="289">
        <v>86134.753178936371</v>
      </c>
      <c r="Q136" s="290">
        <v>89760</v>
      </c>
      <c r="R136" s="290">
        <v>3625.2468210636289</v>
      </c>
      <c r="S136" s="181">
        <v>4.0388222159799786E-2</v>
      </c>
      <c r="T136" s="291">
        <v>104055.24812710437</v>
      </c>
      <c r="U136" s="277">
        <v>112598.60785280001</v>
      </c>
      <c r="V136" s="290">
        <v>8543.3597256956418</v>
      </c>
      <c r="W136" s="182">
        <v>7.5874470285319726E-2</v>
      </c>
      <c r="Z136" s="292" t="s">
        <v>125</v>
      </c>
      <c r="AA136" s="189">
        <f t="shared" si="114"/>
        <v>92881.87000000001</v>
      </c>
      <c r="AB136" s="189">
        <f t="shared" si="115"/>
        <v>106386</v>
      </c>
      <c r="AC136" s="189">
        <f t="shared" si="116"/>
        <v>115078.26171484383</v>
      </c>
      <c r="AD136" s="189">
        <f t="shared" si="117"/>
        <v>132600.97416776</v>
      </c>
      <c r="AE136" s="189">
        <f t="shared" si="118"/>
        <v>86134.753178936371</v>
      </c>
      <c r="AF136" s="189">
        <f t="shared" si="119"/>
        <v>89760</v>
      </c>
      <c r="AG136" s="189">
        <f t="shared" si="120"/>
        <v>104055.24812710437</v>
      </c>
      <c r="AH136" s="189">
        <f t="shared" si="121"/>
        <v>112598.60785280001</v>
      </c>
      <c r="AI136" s="206">
        <f t="shared" si="123"/>
        <v>6747.1168210636388</v>
      </c>
      <c r="AJ136" s="206">
        <f t="shared" si="123"/>
        <v>16626</v>
      </c>
      <c r="AK136" s="189">
        <f t="shared" si="123"/>
        <v>11023.013587739464</v>
      </c>
      <c r="AL136" s="189">
        <f t="shared" si="123"/>
        <v>20002.366314959989</v>
      </c>
      <c r="AM136" s="219">
        <f t="shared" si="122"/>
        <v>7.8332108377290821E-2</v>
      </c>
      <c r="AN136" s="214">
        <f t="shared" si="122"/>
        <v>0.18522727272727274</v>
      </c>
      <c r="AO136" s="214">
        <f t="shared" si="122"/>
        <v>0.10593423960966158</v>
      </c>
      <c r="AP136" s="214">
        <f t="shared" si="122"/>
        <v>0.1776431049761206</v>
      </c>
    </row>
    <row r="137" spans="1:42" ht="15" customHeight="1" x14ac:dyDescent="0.25">
      <c r="A137" s="15">
        <v>717</v>
      </c>
      <c r="B137" s="56" t="s">
        <v>126</v>
      </c>
      <c r="C137" s="285">
        <v>7</v>
      </c>
      <c r="D137" s="286">
        <v>70206.425000000003</v>
      </c>
      <c r="E137" s="287">
        <v>68112</v>
      </c>
      <c r="F137" s="287">
        <v>-2094.4250000000029</v>
      </c>
      <c r="G137" s="133">
        <f t="shared" si="112"/>
        <v>-3.0749721047686206E-2</v>
      </c>
      <c r="H137" s="276">
        <v>85629.625</v>
      </c>
      <c r="I137" s="275">
        <v>89479.144929920003</v>
      </c>
      <c r="J137" s="287">
        <v>3849.5199299200031</v>
      </c>
      <c r="K137" s="133">
        <f t="shared" si="113"/>
        <v>4.302142061074616E-2</v>
      </c>
      <c r="N137" s="164" t="s">
        <v>126</v>
      </c>
      <c r="O137" s="288">
        <v>7</v>
      </c>
      <c r="P137" s="289">
        <v>56399.3</v>
      </c>
      <c r="Q137" s="290">
        <v>60348</v>
      </c>
      <c r="R137" s="290">
        <v>3948.6999999999971</v>
      </c>
      <c r="S137" s="181">
        <v>6.5432160137866985E-2</v>
      </c>
      <c r="T137" s="291">
        <v>69947.203999999998</v>
      </c>
      <c r="U137" s="277">
        <v>79338.862953439995</v>
      </c>
      <c r="V137" s="290">
        <v>9391.6589534399973</v>
      </c>
      <c r="W137" s="182">
        <v>0.11837400491801214</v>
      </c>
      <c r="Z137" s="292" t="s">
        <v>126</v>
      </c>
      <c r="AA137" s="189">
        <f t="shared" si="114"/>
        <v>70206.425000000003</v>
      </c>
      <c r="AB137" s="189">
        <f t="shared" si="115"/>
        <v>68112</v>
      </c>
      <c r="AC137" s="189">
        <f t="shared" si="116"/>
        <v>85629.625</v>
      </c>
      <c r="AD137" s="189">
        <f t="shared" si="117"/>
        <v>89479.144929920003</v>
      </c>
      <c r="AE137" s="189">
        <f t="shared" si="118"/>
        <v>56399.3</v>
      </c>
      <c r="AF137" s="189">
        <f t="shared" si="119"/>
        <v>60348</v>
      </c>
      <c r="AG137" s="189">
        <f t="shared" si="120"/>
        <v>69947.203999999998</v>
      </c>
      <c r="AH137" s="189">
        <f t="shared" si="121"/>
        <v>79338.862953439995</v>
      </c>
      <c r="AI137" s="206">
        <f t="shared" si="123"/>
        <v>13807.125</v>
      </c>
      <c r="AJ137" s="206">
        <f t="shared" si="123"/>
        <v>7764</v>
      </c>
      <c r="AK137" s="189">
        <f t="shared" si="123"/>
        <v>15682.421000000002</v>
      </c>
      <c r="AL137" s="189">
        <f t="shared" si="123"/>
        <v>10140.281976480008</v>
      </c>
      <c r="AM137" s="219">
        <f t="shared" si="122"/>
        <v>0.24481021927577115</v>
      </c>
      <c r="AN137" s="214">
        <f t="shared" si="122"/>
        <v>0.12865380791409822</v>
      </c>
      <c r="AO137" s="214">
        <f t="shared" si="122"/>
        <v>0.22420368654049422</v>
      </c>
      <c r="AP137" s="214">
        <f t="shared" si="122"/>
        <v>0.12780977189490139</v>
      </c>
    </row>
    <row r="138" spans="1:42" ht="15" customHeight="1" x14ac:dyDescent="0.25">
      <c r="A138" s="15">
        <v>718</v>
      </c>
      <c r="B138" s="56" t="s">
        <v>127</v>
      </c>
      <c r="C138" s="285">
        <v>6</v>
      </c>
      <c r="D138" s="286">
        <v>69081.5</v>
      </c>
      <c r="E138" s="287">
        <v>49560</v>
      </c>
      <c r="F138" s="287">
        <v>-19521.5</v>
      </c>
      <c r="G138" s="133">
        <f t="shared" si="112"/>
        <v>-0.39389628732849069</v>
      </c>
      <c r="H138" s="276">
        <v>83497.541289135901</v>
      </c>
      <c r="I138" s="275">
        <v>68577.327089600003</v>
      </c>
      <c r="J138" s="287">
        <v>-14920.214199535898</v>
      </c>
      <c r="K138" s="133">
        <f t="shared" si="113"/>
        <v>-0.2175677418870792</v>
      </c>
      <c r="N138" s="164" t="s">
        <v>127</v>
      </c>
      <c r="O138" s="288">
        <v>5</v>
      </c>
      <c r="P138" s="289">
        <v>34800</v>
      </c>
      <c r="Q138" s="290">
        <v>39936</v>
      </c>
      <c r="R138" s="290">
        <v>5136</v>
      </c>
      <c r="S138" s="181">
        <v>0.12860576923076922</v>
      </c>
      <c r="T138" s="291">
        <v>47288</v>
      </c>
      <c r="U138" s="277">
        <v>56256.518574080001</v>
      </c>
      <c r="V138" s="290">
        <v>8968.5185740800007</v>
      </c>
      <c r="W138" s="182">
        <v>0.15942185548275672</v>
      </c>
      <c r="Z138" s="292" t="s">
        <v>127</v>
      </c>
      <c r="AA138" s="189">
        <f t="shared" si="114"/>
        <v>69081.5</v>
      </c>
      <c r="AB138" s="189">
        <f t="shared" si="115"/>
        <v>49560</v>
      </c>
      <c r="AC138" s="189">
        <f t="shared" si="116"/>
        <v>83497.541289135901</v>
      </c>
      <c r="AD138" s="189">
        <f t="shared" si="117"/>
        <v>68577.327089600003</v>
      </c>
      <c r="AE138" s="189">
        <f t="shared" si="118"/>
        <v>34800</v>
      </c>
      <c r="AF138" s="189">
        <f t="shared" si="119"/>
        <v>39936</v>
      </c>
      <c r="AG138" s="189">
        <f t="shared" si="120"/>
        <v>47288</v>
      </c>
      <c r="AH138" s="189">
        <f t="shared" si="121"/>
        <v>56256.518574080001</v>
      </c>
      <c r="AI138" s="206">
        <f t="shared" ref="AI138:AL168" si="124">IFERROR(AA138-AE138,"-")</f>
        <v>34281.5</v>
      </c>
      <c r="AJ138" s="206">
        <f t="shared" si="124"/>
        <v>9624</v>
      </c>
      <c r="AK138" s="189">
        <f t="shared" si="124"/>
        <v>36209.541289135901</v>
      </c>
      <c r="AL138" s="189">
        <f t="shared" si="124"/>
        <v>12320.808515520002</v>
      </c>
      <c r="AM138" s="219">
        <f t="shared" si="122"/>
        <v>0.98510057471264367</v>
      </c>
      <c r="AN138" s="214">
        <f t="shared" si="122"/>
        <v>0.24098557692307693</v>
      </c>
      <c r="AO138" s="214">
        <f t="shared" si="122"/>
        <v>0.76572367808187913</v>
      </c>
      <c r="AP138" s="214">
        <f t="shared" si="122"/>
        <v>0.2190112155499927</v>
      </c>
    </row>
    <row r="139" spans="1:42" ht="15" customHeight="1" x14ac:dyDescent="0.25">
      <c r="A139" s="15">
        <v>719</v>
      </c>
      <c r="B139" s="56" t="s">
        <v>128</v>
      </c>
      <c r="C139" s="285">
        <v>20</v>
      </c>
      <c r="D139" s="286">
        <v>185468.04990419341</v>
      </c>
      <c r="E139" s="287">
        <v>150126</v>
      </c>
      <c r="F139" s="287">
        <v>-35342.049904193409</v>
      </c>
      <c r="G139" s="133">
        <f t="shared" si="112"/>
        <v>-0.23541591665796338</v>
      </c>
      <c r="H139" s="276">
        <v>218489.3279898839</v>
      </c>
      <c r="I139" s="275">
        <v>181881.13330615999</v>
      </c>
      <c r="J139" s="287">
        <v>-36608.194683723908</v>
      </c>
      <c r="K139" s="133">
        <f t="shared" si="113"/>
        <v>-0.20127538254394667</v>
      </c>
      <c r="N139" s="164" t="s">
        <v>128</v>
      </c>
      <c r="O139" s="288">
        <v>17</v>
      </c>
      <c r="P139" s="289">
        <v>158863.47242394506</v>
      </c>
      <c r="Q139" s="290">
        <v>139812</v>
      </c>
      <c r="R139" s="290">
        <v>-19051.472423945059</v>
      </c>
      <c r="S139" s="181">
        <v>-0.13626493022018896</v>
      </c>
      <c r="T139" s="291">
        <v>190045.698008646</v>
      </c>
      <c r="U139" s="277">
        <v>169198.52461136002</v>
      </c>
      <c r="V139" s="290">
        <v>-20847.17339728598</v>
      </c>
      <c r="W139" s="182">
        <v>-0.12321131904176366</v>
      </c>
      <c r="Z139" s="292" t="s">
        <v>128</v>
      </c>
      <c r="AA139" s="189">
        <f t="shared" si="114"/>
        <v>185468.04990419341</v>
      </c>
      <c r="AB139" s="189">
        <f t="shared" si="115"/>
        <v>150126</v>
      </c>
      <c r="AC139" s="189">
        <f t="shared" si="116"/>
        <v>218489.3279898839</v>
      </c>
      <c r="AD139" s="189">
        <f t="shared" si="117"/>
        <v>181881.13330615999</v>
      </c>
      <c r="AE139" s="189">
        <f t="shared" si="118"/>
        <v>158863.47242394506</v>
      </c>
      <c r="AF139" s="189">
        <f t="shared" si="119"/>
        <v>139812</v>
      </c>
      <c r="AG139" s="189">
        <f t="shared" si="120"/>
        <v>190045.698008646</v>
      </c>
      <c r="AH139" s="189">
        <f t="shared" si="121"/>
        <v>169198.52461136002</v>
      </c>
      <c r="AI139" s="206">
        <f t="shared" si="124"/>
        <v>26604.57748024835</v>
      </c>
      <c r="AJ139" s="206">
        <f t="shared" si="124"/>
        <v>10314</v>
      </c>
      <c r="AK139" s="189">
        <f t="shared" si="124"/>
        <v>28443.6299812379</v>
      </c>
      <c r="AL139" s="189">
        <f t="shared" si="124"/>
        <v>12682.608694799972</v>
      </c>
      <c r="AM139" s="219">
        <f t="shared" si="122"/>
        <v>0.1674681855703811</v>
      </c>
      <c r="AN139" s="214">
        <f t="shared" si="122"/>
        <v>7.3770491803278687E-2</v>
      </c>
      <c r="AO139" s="214">
        <f t="shared" si="122"/>
        <v>0.14966731833068844</v>
      </c>
      <c r="AP139" s="214">
        <f t="shared" si="122"/>
        <v>7.495696977223204E-2</v>
      </c>
    </row>
    <row r="140" spans="1:42" ht="15" customHeight="1" x14ac:dyDescent="0.25">
      <c r="A140" s="15">
        <v>720</v>
      </c>
      <c r="B140" s="56" t="s">
        <v>129</v>
      </c>
      <c r="C140" s="285">
        <v>18</v>
      </c>
      <c r="D140" s="286">
        <v>248536.30477031803</v>
      </c>
      <c r="E140" s="287">
        <v>172356</v>
      </c>
      <c r="F140" s="287">
        <v>-76180.304770318035</v>
      </c>
      <c r="G140" s="133">
        <f t="shared" si="112"/>
        <v>-0.44199392403117987</v>
      </c>
      <c r="H140" s="276">
        <v>292100.79424616636</v>
      </c>
      <c r="I140" s="275">
        <v>206926.81089296</v>
      </c>
      <c r="J140" s="287">
        <v>-85173.983353206364</v>
      </c>
      <c r="K140" s="133">
        <f t="shared" si="113"/>
        <v>-0.41161405322805428</v>
      </c>
      <c r="N140" s="164" t="s">
        <v>129</v>
      </c>
      <c r="O140" s="288">
        <v>15</v>
      </c>
      <c r="P140" s="289">
        <v>217076.08805116577</v>
      </c>
      <c r="Q140" s="290">
        <v>160506</v>
      </c>
      <c r="R140" s="290">
        <v>-56570.088051165774</v>
      </c>
      <c r="S140" s="181">
        <v>-0.3524484321531019</v>
      </c>
      <c r="T140" s="291">
        <v>253681.61073415613</v>
      </c>
      <c r="U140" s="277">
        <v>192599.76087368</v>
      </c>
      <c r="V140" s="290">
        <v>-61081.849860476126</v>
      </c>
      <c r="W140" s="182">
        <v>-0.31714395481798002</v>
      </c>
      <c r="Z140" s="292" t="s">
        <v>129</v>
      </c>
      <c r="AA140" s="189">
        <f t="shared" si="114"/>
        <v>248536.30477031803</v>
      </c>
      <c r="AB140" s="189">
        <f t="shared" si="115"/>
        <v>172356</v>
      </c>
      <c r="AC140" s="189">
        <f t="shared" si="116"/>
        <v>292100.79424616636</v>
      </c>
      <c r="AD140" s="189">
        <f t="shared" si="117"/>
        <v>206926.81089296</v>
      </c>
      <c r="AE140" s="189">
        <f t="shared" si="118"/>
        <v>217076.08805116577</v>
      </c>
      <c r="AF140" s="189">
        <f t="shared" si="119"/>
        <v>160506</v>
      </c>
      <c r="AG140" s="189">
        <f t="shared" si="120"/>
        <v>253681.61073415613</v>
      </c>
      <c r="AH140" s="189">
        <f t="shared" si="121"/>
        <v>192599.76087368</v>
      </c>
      <c r="AI140" s="206">
        <f t="shared" si="124"/>
        <v>31460.21671915226</v>
      </c>
      <c r="AJ140" s="206">
        <f t="shared" si="124"/>
        <v>11850</v>
      </c>
      <c r="AK140" s="189">
        <f t="shared" si="124"/>
        <v>38419.183512010233</v>
      </c>
      <c r="AL140" s="189">
        <f t="shared" si="124"/>
        <v>14327.050019279995</v>
      </c>
      <c r="AM140" s="219">
        <f t="shared" si="122"/>
        <v>0.14492714053211125</v>
      </c>
      <c r="AN140" s="214">
        <f t="shared" si="122"/>
        <v>7.3829015737729431E-2</v>
      </c>
      <c r="AO140" s="214">
        <f t="shared" si="122"/>
        <v>0.15144646630406075</v>
      </c>
      <c r="AP140" s="214">
        <f t="shared" si="122"/>
        <v>7.4387683319485781E-2</v>
      </c>
    </row>
    <row r="141" spans="1:42" ht="15" customHeight="1" x14ac:dyDescent="0.25">
      <c r="A141" s="15">
        <v>721</v>
      </c>
      <c r="B141" s="56" t="s">
        <v>130</v>
      </c>
      <c r="C141" s="285">
        <v>17</v>
      </c>
      <c r="D141" s="286">
        <v>240367.7576688054</v>
      </c>
      <c r="E141" s="287">
        <v>226152</v>
      </c>
      <c r="F141" s="287">
        <v>-14215.757668805396</v>
      </c>
      <c r="G141" s="133">
        <f t="shared" si="112"/>
        <v>-6.2859305550273248E-2</v>
      </c>
      <c r="H141" s="276">
        <v>284330.47779527935</v>
      </c>
      <c r="I141" s="275">
        <v>267536.67465632001</v>
      </c>
      <c r="J141" s="287">
        <v>-16793.803138959338</v>
      </c>
      <c r="K141" s="133">
        <f t="shared" si="113"/>
        <v>-6.2771966350156694E-2</v>
      </c>
      <c r="N141" s="164" t="s">
        <v>130</v>
      </c>
      <c r="O141" s="288">
        <v>12</v>
      </c>
      <c r="P141" s="289">
        <v>228895.59240246407</v>
      </c>
      <c r="Q141" s="290">
        <v>210612</v>
      </c>
      <c r="R141" s="290">
        <v>-18283.59240246407</v>
      </c>
      <c r="S141" s="181">
        <v>-8.6811731536968792E-2</v>
      </c>
      <c r="T141" s="291">
        <v>267898.06845503737</v>
      </c>
      <c r="U141" s="277">
        <v>249260.74203535999</v>
      </c>
      <c r="V141" s="290">
        <v>-18637.326419677382</v>
      </c>
      <c r="W141" s="182">
        <v>-7.4770404145846209E-2</v>
      </c>
      <c r="Z141" s="292" t="s">
        <v>130</v>
      </c>
      <c r="AA141" s="189">
        <f t="shared" si="114"/>
        <v>240367.7576688054</v>
      </c>
      <c r="AB141" s="189">
        <f t="shared" si="115"/>
        <v>226152</v>
      </c>
      <c r="AC141" s="189">
        <f t="shared" si="116"/>
        <v>284330.47779527935</v>
      </c>
      <c r="AD141" s="189">
        <f t="shared" si="117"/>
        <v>267536.67465632001</v>
      </c>
      <c r="AE141" s="189">
        <f t="shared" si="118"/>
        <v>228895.59240246407</v>
      </c>
      <c r="AF141" s="189">
        <f t="shared" si="119"/>
        <v>210612</v>
      </c>
      <c r="AG141" s="189">
        <f t="shared" si="120"/>
        <v>267898.06845503737</v>
      </c>
      <c r="AH141" s="189">
        <f t="shared" si="121"/>
        <v>249260.74203535999</v>
      </c>
      <c r="AI141" s="206">
        <f t="shared" si="124"/>
        <v>11472.165266341326</v>
      </c>
      <c r="AJ141" s="206">
        <f t="shared" si="124"/>
        <v>15540</v>
      </c>
      <c r="AK141" s="189">
        <f t="shared" si="124"/>
        <v>16432.409340241982</v>
      </c>
      <c r="AL141" s="189">
        <f t="shared" si="124"/>
        <v>18275.932620960026</v>
      </c>
      <c r="AM141" s="219">
        <f t="shared" si="122"/>
        <v>5.0119642523172622E-2</v>
      </c>
      <c r="AN141" s="214">
        <f t="shared" si="122"/>
        <v>7.3784969517406415E-2</v>
      </c>
      <c r="AO141" s="214">
        <f t="shared" si="122"/>
        <v>6.1338289727161335E-2</v>
      </c>
      <c r="AP141" s="214">
        <f t="shared" si="122"/>
        <v>7.3320541661419797E-2</v>
      </c>
    </row>
    <row r="142" spans="1:42" ht="15" customHeight="1" x14ac:dyDescent="0.25">
      <c r="A142" s="15">
        <v>722</v>
      </c>
      <c r="B142" s="56" t="s">
        <v>131</v>
      </c>
      <c r="C142" s="285">
        <v>6</v>
      </c>
      <c r="D142" s="286">
        <v>134138.72534164577</v>
      </c>
      <c r="E142" s="287">
        <v>143076</v>
      </c>
      <c r="F142" s="287">
        <v>8937.2746583542321</v>
      </c>
      <c r="G142" s="133">
        <f t="shared" si="112"/>
        <v>6.2465225882427748E-2</v>
      </c>
      <c r="H142" s="276">
        <v>152683.20416897742</v>
      </c>
      <c r="I142" s="275">
        <v>173938.17212815999</v>
      </c>
      <c r="J142" s="287">
        <v>21254.96795918257</v>
      </c>
      <c r="K142" s="133">
        <f t="shared" si="113"/>
        <v>0.12219840934928086</v>
      </c>
      <c r="N142" s="164" t="s">
        <v>131</v>
      </c>
      <c r="O142" s="288">
        <v>5</v>
      </c>
      <c r="P142" s="289">
        <v>123204.34520547945</v>
      </c>
      <c r="Q142" s="290">
        <v>120690</v>
      </c>
      <c r="R142" s="290">
        <v>-2514.345205479447</v>
      </c>
      <c r="S142" s="181">
        <v>-2.083308646515409E-2</v>
      </c>
      <c r="T142" s="291">
        <v>139553.32843835617</v>
      </c>
      <c r="U142" s="277">
        <v>147574.94097319999</v>
      </c>
      <c r="V142" s="290">
        <v>8021.6125348438218</v>
      </c>
      <c r="W142" s="182">
        <v>5.4356196803768797E-2</v>
      </c>
      <c r="Z142" s="292" t="s">
        <v>131</v>
      </c>
      <c r="AA142" s="189">
        <f t="shared" si="114"/>
        <v>134138.72534164577</v>
      </c>
      <c r="AB142" s="189">
        <f t="shared" si="115"/>
        <v>143076</v>
      </c>
      <c r="AC142" s="189">
        <f t="shared" si="116"/>
        <v>152683.20416897742</v>
      </c>
      <c r="AD142" s="189">
        <f t="shared" si="117"/>
        <v>173938.17212815999</v>
      </c>
      <c r="AE142" s="189">
        <f t="shared" si="118"/>
        <v>123204.34520547945</v>
      </c>
      <c r="AF142" s="189">
        <f t="shared" si="119"/>
        <v>120690</v>
      </c>
      <c r="AG142" s="189">
        <f t="shared" si="120"/>
        <v>139553.32843835617</v>
      </c>
      <c r="AH142" s="189">
        <f t="shared" si="121"/>
        <v>147574.94097319999</v>
      </c>
      <c r="AI142" s="206">
        <f t="shared" si="124"/>
        <v>10934.380136166321</v>
      </c>
      <c r="AJ142" s="206">
        <f t="shared" si="124"/>
        <v>22386</v>
      </c>
      <c r="AK142" s="189">
        <f t="shared" si="124"/>
        <v>13129.87573062125</v>
      </c>
      <c r="AL142" s="189">
        <f t="shared" si="124"/>
        <v>26363.231154959998</v>
      </c>
      <c r="AM142" s="219">
        <f t="shared" si="122"/>
        <v>8.8749955352061885E-2</v>
      </c>
      <c r="AN142" s="214">
        <f t="shared" si="122"/>
        <v>0.18548347004722843</v>
      </c>
      <c r="AO142" s="214">
        <f t="shared" si="122"/>
        <v>9.4085005908125005E-2</v>
      </c>
      <c r="AP142" s="214">
        <f t="shared" si="122"/>
        <v>0.17864300660467575</v>
      </c>
    </row>
    <row r="143" spans="1:42" ht="15" customHeight="1" x14ac:dyDescent="0.25">
      <c r="A143" s="15">
        <v>723</v>
      </c>
      <c r="B143" s="56" t="s">
        <v>132</v>
      </c>
      <c r="C143" s="285">
        <v>17</v>
      </c>
      <c r="D143" s="286">
        <v>90221.687447118878</v>
      </c>
      <c r="E143" s="287">
        <v>75150</v>
      </c>
      <c r="F143" s="287">
        <v>-15071.687447118878</v>
      </c>
      <c r="G143" s="133">
        <f t="shared" si="112"/>
        <v>-0.20055472318188794</v>
      </c>
      <c r="H143" s="276">
        <v>112044.48357054451</v>
      </c>
      <c r="I143" s="275">
        <v>97408.586173999996</v>
      </c>
      <c r="J143" s="287">
        <v>-14635.897396544518</v>
      </c>
      <c r="K143" s="133">
        <f t="shared" si="113"/>
        <v>-0.15025264169629318</v>
      </c>
      <c r="N143" s="164" t="s">
        <v>132</v>
      </c>
      <c r="O143" s="288">
        <v>15</v>
      </c>
      <c r="P143" s="289">
        <v>82689.286059275517</v>
      </c>
      <c r="Q143" s="290">
        <v>69990</v>
      </c>
      <c r="R143" s="290">
        <v>-12699.286059275517</v>
      </c>
      <c r="S143" s="181">
        <v>-0.18144429288863434</v>
      </c>
      <c r="T143" s="291">
        <v>102287.46277389448</v>
      </c>
      <c r="U143" s="277">
        <v>90242.251377199995</v>
      </c>
      <c r="V143" s="290">
        <v>-12045.211396694489</v>
      </c>
      <c r="W143" s="182">
        <v>-0.13347640614978884</v>
      </c>
      <c r="Z143" s="292" t="s">
        <v>132</v>
      </c>
      <c r="AA143" s="189">
        <f t="shared" si="114"/>
        <v>90221.687447118878</v>
      </c>
      <c r="AB143" s="189">
        <f t="shared" si="115"/>
        <v>75150</v>
      </c>
      <c r="AC143" s="189">
        <f t="shared" si="116"/>
        <v>112044.48357054451</v>
      </c>
      <c r="AD143" s="189">
        <f t="shared" si="117"/>
        <v>97408.586173999996</v>
      </c>
      <c r="AE143" s="189">
        <f t="shared" si="118"/>
        <v>82689.286059275517</v>
      </c>
      <c r="AF143" s="189">
        <f t="shared" si="119"/>
        <v>69990</v>
      </c>
      <c r="AG143" s="189">
        <f t="shared" si="120"/>
        <v>102287.46277389448</v>
      </c>
      <c r="AH143" s="189">
        <f t="shared" si="121"/>
        <v>90242.251377199995</v>
      </c>
      <c r="AI143" s="206">
        <f t="shared" si="124"/>
        <v>7532.4013878433616</v>
      </c>
      <c r="AJ143" s="206">
        <f t="shared" si="124"/>
        <v>5160</v>
      </c>
      <c r="AK143" s="189">
        <f t="shared" si="124"/>
        <v>9757.0207966500311</v>
      </c>
      <c r="AL143" s="189">
        <f t="shared" si="124"/>
        <v>7166.3347968000016</v>
      </c>
      <c r="AM143" s="219">
        <f t="shared" si="122"/>
        <v>9.1092833749269367E-2</v>
      </c>
      <c r="AN143" s="214">
        <f t="shared" si="122"/>
        <v>7.3724817831118727E-2</v>
      </c>
      <c r="AO143" s="214">
        <f t="shared" si="122"/>
        <v>9.5388237542051835E-2</v>
      </c>
      <c r="AP143" s="214">
        <f t="shared" si="122"/>
        <v>7.9412189827198831E-2</v>
      </c>
    </row>
    <row r="144" spans="1:42" ht="15" customHeight="1" x14ac:dyDescent="0.25">
      <c r="A144" s="15">
        <v>724</v>
      </c>
      <c r="B144" s="56" t="s">
        <v>133</v>
      </c>
      <c r="C144" s="285">
        <v>5</v>
      </c>
      <c r="D144" s="286">
        <v>148143.432</v>
      </c>
      <c r="E144" s="287">
        <v>113478</v>
      </c>
      <c r="F144" s="287">
        <v>-34665.432000000001</v>
      </c>
      <c r="G144" s="133">
        <f t="shared" si="112"/>
        <v>-0.30548152064717393</v>
      </c>
      <c r="H144" s="276">
        <v>166927.432</v>
      </c>
      <c r="I144" s="275">
        <v>140591.25511448001</v>
      </c>
      <c r="J144" s="287">
        <v>-26336.176885519992</v>
      </c>
      <c r="K144" s="133">
        <f t="shared" si="113"/>
        <v>-0.1873244311253576</v>
      </c>
      <c r="N144" s="164" t="s">
        <v>133</v>
      </c>
      <c r="O144" s="288">
        <v>5</v>
      </c>
      <c r="P144" s="289">
        <v>138308</v>
      </c>
      <c r="Q144" s="290">
        <v>105678</v>
      </c>
      <c r="R144" s="290">
        <v>-32630</v>
      </c>
      <c r="S144" s="181">
        <v>-0.30876814474157344</v>
      </c>
      <c r="T144" s="291">
        <v>155484</v>
      </c>
      <c r="U144" s="277">
        <v>130599.03690584</v>
      </c>
      <c r="V144" s="290">
        <v>-24884.963094160004</v>
      </c>
      <c r="W144" s="182">
        <v>-0.19054476727957573</v>
      </c>
      <c r="Z144" s="292" t="s">
        <v>133</v>
      </c>
      <c r="AA144" s="189">
        <f t="shared" si="114"/>
        <v>148143.432</v>
      </c>
      <c r="AB144" s="189">
        <f t="shared" si="115"/>
        <v>113478</v>
      </c>
      <c r="AC144" s="189">
        <f t="shared" si="116"/>
        <v>166927.432</v>
      </c>
      <c r="AD144" s="189">
        <f t="shared" si="117"/>
        <v>140591.25511448001</v>
      </c>
      <c r="AE144" s="189">
        <f t="shared" si="118"/>
        <v>138308</v>
      </c>
      <c r="AF144" s="189">
        <f t="shared" si="119"/>
        <v>105678</v>
      </c>
      <c r="AG144" s="189">
        <f t="shared" si="120"/>
        <v>155484</v>
      </c>
      <c r="AH144" s="189">
        <f t="shared" si="121"/>
        <v>130599.03690584</v>
      </c>
      <c r="AI144" s="206">
        <f t="shared" si="124"/>
        <v>9835.4320000000007</v>
      </c>
      <c r="AJ144" s="206">
        <f t="shared" si="124"/>
        <v>7800</v>
      </c>
      <c r="AK144" s="189">
        <f t="shared" si="124"/>
        <v>11443.432000000001</v>
      </c>
      <c r="AL144" s="189">
        <f t="shared" si="124"/>
        <v>9992.2182086400135</v>
      </c>
      <c r="AM144" s="219">
        <f t="shared" si="122"/>
        <v>7.1112531451542935E-2</v>
      </c>
      <c r="AN144" s="214">
        <f t="shared" si="122"/>
        <v>7.3809118264917956E-2</v>
      </c>
      <c r="AO144" s="214">
        <f t="shared" si="122"/>
        <v>7.3598775436700889E-2</v>
      </c>
      <c r="AP144" s="214">
        <f t="shared" si="122"/>
        <v>7.6510657699905227E-2</v>
      </c>
    </row>
    <row r="145" spans="1:42" ht="15" customHeight="1" x14ac:dyDescent="0.25">
      <c r="A145" s="15">
        <v>725</v>
      </c>
      <c r="B145" s="56" t="s">
        <v>134</v>
      </c>
      <c r="C145" s="285">
        <v>6</v>
      </c>
      <c r="D145" s="286">
        <v>54777.100000000006</v>
      </c>
      <c r="E145" s="287">
        <v>64800</v>
      </c>
      <c r="F145" s="287">
        <v>10022.899999999994</v>
      </c>
      <c r="G145" s="133">
        <f t="shared" si="112"/>
        <v>0.1546743827160493</v>
      </c>
      <c r="H145" s="276">
        <v>69483.586438480968</v>
      </c>
      <c r="I145" s="275">
        <v>85747.643167999995</v>
      </c>
      <c r="J145" s="287">
        <v>16264.056729519027</v>
      </c>
      <c r="K145" s="133">
        <f t="shared" si="113"/>
        <v>0.18967351321428016</v>
      </c>
      <c r="N145" s="164" t="s">
        <v>134</v>
      </c>
      <c r="O145" s="288">
        <v>6</v>
      </c>
      <c r="P145" s="289">
        <v>50406.400000000001</v>
      </c>
      <c r="Q145" s="290">
        <v>60348</v>
      </c>
      <c r="R145" s="290">
        <v>9941.5999999999985</v>
      </c>
      <c r="S145" s="181">
        <v>0.16473785378140118</v>
      </c>
      <c r="T145" s="291">
        <v>63385.974005479453</v>
      </c>
      <c r="U145" s="277">
        <v>79338.862953439995</v>
      </c>
      <c r="V145" s="290">
        <v>15952.888947960542</v>
      </c>
      <c r="W145" s="182">
        <v>0.20107282048297684</v>
      </c>
      <c r="Z145" s="292" t="s">
        <v>134</v>
      </c>
      <c r="AA145" s="189">
        <f t="shared" si="114"/>
        <v>54777.100000000006</v>
      </c>
      <c r="AB145" s="189">
        <f t="shared" si="115"/>
        <v>64800</v>
      </c>
      <c r="AC145" s="189">
        <f t="shared" si="116"/>
        <v>69483.586438480968</v>
      </c>
      <c r="AD145" s="189">
        <f t="shared" si="117"/>
        <v>85747.643167999995</v>
      </c>
      <c r="AE145" s="189">
        <f t="shared" si="118"/>
        <v>50406.400000000001</v>
      </c>
      <c r="AF145" s="189">
        <f t="shared" si="119"/>
        <v>60348</v>
      </c>
      <c r="AG145" s="189">
        <f t="shared" si="120"/>
        <v>63385.974005479453</v>
      </c>
      <c r="AH145" s="189">
        <f t="shared" si="121"/>
        <v>79338.862953439995</v>
      </c>
      <c r="AI145" s="206">
        <f t="shared" si="124"/>
        <v>4370.7000000000044</v>
      </c>
      <c r="AJ145" s="206">
        <f t="shared" si="124"/>
        <v>4452</v>
      </c>
      <c r="AK145" s="189">
        <f t="shared" si="124"/>
        <v>6097.6124330015155</v>
      </c>
      <c r="AL145" s="189">
        <f t="shared" si="124"/>
        <v>6408.7802145599999</v>
      </c>
      <c r="AM145" s="219">
        <f t="shared" si="122"/>
        <v>8.670922739969536E-2</v>
      </c>
      <c r="AN145" s="214">
        <f t="shared" si="122"/>
        <v>7.3772121694173798E-2</v>
      </c>
      <c r="AO145" s="214">
        <f t="shared" si="122"/>
        <v>9.6198134187768458E-2</v>
      </c>
      <c r="AP145" s="214">
        <f t="shared" si="122"/>
        <v>8.0777313613896784E-2</v>
      </c>
    </row>
    <row r="146" spans="1:42" ht="15" customHeight="1" x14ac:dyDescent="0.25">
      <c r="A146" s="15">
        <v>728</v>
      </c>
      <c r="B146" s="56" t="s">
        <v>135</v>
      </c>
      <c r="C146" s="285">
        <v>5</v>
      </c>
      <c r="D146" s="286">
        <v>77209.599999999991</v>
      </c>
      <c r="E146" s="287">
        <v>57306</v>
      </c>
      <c r="F146" s="287">
        <v>-19903.599999999991</v>
      </c>
      <c r="G146" s="133">
        <f t="shared" si="112"/>
        <v>-0.3473213974103932</v>
      </c>
      <c r="H146" s="276">
        <v>93037.983999999997</v>
      </c>
      <c r="I146" s="275">
        <v>77304.444434959994</v>
      </c>
      <c r="J146" s="287">
        <v>-15733.539565040002</v>
      </c>
      <c r="K146" s="133">
        <f t="shared" si="113"/>
        <v>-0.20352697286735433</v>
      </c>
      <c r="N146" s="164" t="s">
        <v>135</v>
      </c>
      <c r="O146" s="288">
        <v>5</v>
      </c>
      <c r="P146" s="289">
        <v>67600</v>
      </c>
      <c r="Q146" s="290">
        <v>53364</v>
      </c>
      <c r="R146" s="290">
        <v>-14236</v>
      </c>
      <c r="S146" s="181">
        <v>-0.26677160632636232</v>
      </c>
      <c r="T146" s="291">
        <v>81400</v>
      </c>
      <c r="U146" s="277">
        <v>71441.200149919998</v>
      </c>
      <c r="V146" s="290">
        <v>-9958.7998500800022</v>
      </c>
      <c r="W146" s="182">
        <v>-0.13939855194455542</v>
      </c>
      <c r="Z146" s="292" t="s">
        <v>135</v>
      </c>
      <c r="AA146" s="189">
        <f t="shared" si="114"/>
        <v>77209.599999999991</v>
      </c>
      <c r="AB146" s="189">
        <f t="shared" si="115"/>
        <v>57306</v>
      </c>
      <c r="AC146" s="189">
        <f t="shared" si="116"/>
        <v>93037.983999999997</v>
      </c>
      <c r="AD146" s="189">
        <f t="shared" si="117"/>
        <v>77304.444434959994</v>
      </c>
      <c r="AE146" s="189">
        <f t="shared" si="118"/>
        <v>67600</v>
      </c>
      <c r="AF146" s="189">
        <f t="shared" si="119"/>
        <v>53364</v>
      </c>
      <c r="AG146" s="189">
        <f t="shared" si="120"/>
        <v>81400</v>
      </c>
      <c r="AH146" s="189">
        <f t="shared" si="121"/>
        <v>71441.200149919998</v>
      </c>
      <c r="AI146" s="206">
        <f t="shared" si="124"/>
        <v>9609.5999999999913</v>
      </c>
      <c r="AJ146" s="206">
        <f t="shared" si="124"/>
        <v>3942</v>
      </c>
      <c r="AK146" s="189">
        <f t="shared" si="124"/>
        <v>11637.983999999997</v>
      </c>
      <c r="AL146" s="189">
        <f t="shared" si="124"/>
        <v>5863.2442850399966</v>
      </c>
      <c r="AM146" s="219">
        <f t="shared" si="122"/>
        <v>0.14215384615384602</v>
      </c>
      <c r="AN146" s="214">
        <f t="shared" si="122"/>
        <v>7.3870024735776932E-2</v>
      </c>
      <c r="AO146" s="214">
        <f t="shared" si="122"/>
        <v>0.14297277641277636</v>
      </c>
      <c r="AP146" s="214">
        <f t="shared" si="122"/>
        <v>8.207090968147128E-2</v>
      </c>
    </row>
    <row r="147" spans="1:42" ht="15" customHeight="1" x14ac:dyDescent="0.25">
      <c r="A147" s="15">
        <v>729</v>
      </c>
      <c r="B147" s="56" t="s">
        <v>136</v>
      </c>
      <c r="C147" s="285">
        <v>4</v>
      </c>
      <c r="D147" s="286" t="s">
        <v>684</v>
      </c>
      <c r="E147" s="287" t="s">
        <v>684</v>
      </c>
      <c r="F147" s="287" t="s">
        <v>484</v>
      </c>
      <c r="G147" s="133" t="str">
        <f t="shared" si="112"/>
        <v>--</v>
      </c>
      <c r="H147" s="276" t="s">
        <v>684</v>
      </c>
      <c r="I147" s="275" t="s">
        <v>684</v>
      </c>
      <c r="J147" s="287" t="s">
        <v>484</v>
      </c>
      <c r="K147" s="133" t="str">
        <f t="shared" si="113"/>
        <v>--</v>
      </c>
      <c r="N147" s="164" t="s">
        <v>136</v>
      </c>
      <c r="O147" s="288">
        <v>4</v>
      </c>
      <c r="P147" s="289" t="s">
        <v>684</v>
      </c>
      <c r="Q147" s="290" t="s">
        <v>684</v>
      </c>
      <c r="R147" s="290" t="s">
        <v>484</v>
      </c>
      <c r="S147" s="181" t="s">
        <v>484</v>
      </c>
      <c r="T147" s="291" t="s">
        <v>684</v>
      </c>
      <c r="U147" s="277" t="s">
        <v>684</v>
      </c>
      <c r="V147" s="290" t="s">
        <v>484</v>
      </c>
      <c r="W147" s="182" t="s">
        <v>484</v>
      </c>
      <c r="Z147" s="292" t="s">
        <v>136</v>
      </c>
      <c r="AA147" s="189" t="str">
        <f t="shared" si="114"/>
        <v>-</v>
      </c>
      <c r="AB147" s="189" t="str">
        <f t="shared" si="115"/>
        <v>-</v>
      </c>
      <c r="AC147" s="189" t="str">
        <f t="shared" si="116"/>
        <v>-</v>
      </c>
      <c r="AD147" s="189" t="str">
        <f t="shared" si="117"/>
        <v>-</v>
      </c>
      <c r="AE147" s="189" t="str">
        <f t="shared" si="118"/>
        <v>-</v>
      </c>
      <c r="AF147" s="189" t="str">
        <f t="shared" si="119"/>
        <v>-</v>
      </c>
      <c r="AG147" s="189" t="str">
        <f t="shared" si="120"/>
        <v>-</v>
      </c>
      <c r="AH147" s="189" t="str">
        <f t="shared" si="121"/>
        <v>-</v>
      </c>
      <c r="AI147" s="206" t="str">
        <f t="shared" si="124"/>
        <v>-</v>
      </c>
      <c r="AJ147" s="206" t="str">
        <f t="shared" si="124"/>
        <v>-</v>
      </c>
      <c r="AK147" s="189" t="str">
        <f t="shared" si="124"/>
        <v>-</v>
      </c>
      <c r="AL147" s="189" t="str">
        <f t="shared" si="124"/>
        <v>-</v>
      </c>
      <c r="AM147" s="219" t="str">
        <f t="shared" si="122"/>
        <v>-</v>
      </c>
      <c r="AN147" s="214" t="str">
        <f t="shared" si="122"/>
        <v>-</v>
      </c>
      <c r="AO147" s="214" t="str">
        <f t="shared" si="122"/>
        <v>-</v>
      </c>
      <c r="AP147" s="214" t="str">
        <f t="shared" si="122"/>
        <v>-</v>
      </c>
    </row>
    <row r="148" spans="1:42" ht="15" customHeight="1" x14ac:dyDescent="0.25">
      <c r="A148" s="15">
        <v>730</v>
      </c>
      <c r="B148" s="56" t="s">
        <v>137</v>
      </c>
      <c r="C148" s="285">
        <v>3</v>
      </c>
      <c r="D148" s="286" t="s">
        <v>684</v>
      </c>
      <c r="E148" s="287" t="s">
        <v>684</v>
      </c>
      <c r="F148" s="287" t="s">
        <v>484</v>
      </c>
      <c r="G148" s="133" t="str">
        <f t="shared" si="112"/>
        <v>--</v>
      </c>
      <c r="H148" s="276" t="s">
        <v>684</v>
      </c>
      <c r="I148" s="275" t="s">
        <v>684</v>
      </c>
      <c r="J148" s="287" t="s">
        <v>484</v>
      </c>
      <c r="K148" s="133" t="str">
        <f t="shared" si="113"/>
        <v>--</v>
      </c>
      <c r="N148" s="164" t="s">
        <v>137</v>
      </c>
      <c r="O148" s="288">
        <v>3</v>
      </c>
      <c r="P148" s="289" t="s">
        <v>684</v>
      </c>
      <c r="Q148" s="290" t="s">
        <v>684</v>
      </c>
      <c r="R148" s="290" t="s">
        <v>484</v>
      </c>
      <c r="S148" s="181" t="s">
        <v>484</v>
      </c>
      <c r="T148" s="291" t="s">
        <v>684</v>
      </c>
      <c r="U148" s="277" t="s">
        <v>684</v>
      </c>
      <c r="V148" s="290" t="s">
        <v>484</v>
      </c>
      <c r="W148" s="182" t="s">
        <v>484</v>
      </c>
      <c r="Z148" s="292" t="s">
        <v>137</v>
      </c>
      <c r="AA148" s="189" t="str">
        <f t="shared" si="114"/>
        <v>-</v>
      </c>
      <c r="AB148" s="189" t="str">
        <f t="shared" si="115"/>
        <v>-</v>
      </c>
      <c r="AC148" s="189" t="str">
        <f t="shared" si="116"/>
        <v>-</v>
      </c>
      <c r="AD148" s="189" t="str">
        <f t="shared" si="117"/>
        <v>-</v>
      </c>
      <c r="AE148" s="189" t="str">
        <f t="shared" si="118"/>
        <v>-</v>
      </c>
      <c r="AF148" s="189" t="str">
        <f t="shared" si="119"/>
        <v>-</v>
      </c>
      <c r="AG148" s="189" t="str">
        <f t="shared" si="120"/>
        <v>-</v>
      </c>
      <c r="AH148" s="189" t="str">
        <f t="shared" si="121"/>
        <v>-</v>
      </c>
      <c r="AI148" s="206" t="str">
        <f t="shared" si="124"/>
        <v>-</v>
      </c>
      <c r="AJ148" s="206" t="str">
        <f t="shared" si="124"/>
        <v>-</v>
      </c>
      <c r="AK148" s="189" t="str">
        <f t="shared" si="124"/>
        <v>-</v>
      </c>
      <c r="AL148" s="189" t="str">
        <f t="shared" si="124"/>
        <v>-</v>
      </c>
      <c r="AM148" s="219" t="str">
        <f t="shared" si="122"/>
        <v>-</v>
      </c>
      <c r="AN148" s="214" t="str">
        <f t="shared" si="122"/>
        <v>-</v>
      </c>
      <c r="AO148" s="214" t="str">
        <f t="shared" si="122"/>
        <v>-</v>
      </c>
      <c r="AP148" s="214" t="str">
        <f t="shared" si="122"/>
        <v>-</v>
      </c>
    </row>
    <row r="149" spans="1:42" ht="15" customHeight="1" x14ac:dyDescent="0.25">
      <c r="A149" s="15">
        <v>731</v>
      </c>
      <c r="B149" s="56" t="s">
        <v>138</v>
      </c>
      <c r="C149" s="285">
        <v>7</v>
      </c>
      <c r="D149" s="286">
        <v>105854.71176470589</v>
      </c>
      <c r="E149" s="287">
        <v>87192</v>
      </c>
      <c r="F149" s="287">
        <v>-18662.711764705891</v>
      </c>
      <c r="G149" s="133">
        <f t="shared" si="112"/>
        <v>-0.21404156074761321</v>
      </c>
      <c r="H149" s="276">
        <v>134303.63907913488</v>
      </c>
      <c r="I149" s="275">
        <v>110975.83986272001</v>
      </c>
      <c r="J149" s="287">
        <v>-23327.799216414875</v>
      </c>
      <c r="K149" s="133">
        <f t="shared" si="113"/>
        <v>-0.21020610652978133</v>
      </c>
      <c r="N149" s="164" t="s">
        <v>138</v>
      </c>
      <c r="O149" s="288">
        <v>6</v>
      </c>
      <c r="P149" s="289">
        <v>103687.02415813215</v>
      </c>
      <c r="Q149" s="290">
        <v>81198</v>
      </c>
      <c r="R149" s="290">
        <v>-22489.024158132146</v>
      </c>
      <c r="S149" s="181">
        <v>-0.2769652473968835</v>
      </c>
      <c r="T149" s="291">
        <v>128765.28153944161</v>
      </c>
      <c r="U149" s="277">
        <v>102916.50749144</v>
      </c>
      <c r="V149" s="290">
        <v>-25848.774048001607</v>
      </c>
      <c r="W149" s="182">
        <v>-0.25116256544317306</v>
      </c>
      <c r="Z149" s="292" t="s">
        <v>138</v>
      </c>
      <c r="AA149" s="189">
        <f t="shared" si="114"/>
        <v>105854.71176470589</v>
      </c>
      <c r="AB149" s="189">
        <f t="shared" si="115"/>
        <v>87192</v>
      </c>
      <c r="AC149" s="189">
        <f t="shared" si="116"/>
        <v>134303.63907913488</v>
      </c>
      <c r="AD149" s="189">
        <f t="shared" si="117"/>
        <v>110975.83986272001</v>
      </c>
      <c r="AE149" s="189">
        <f t="shared" si="118"/>
        <v>103687.02415813215</v>
      </c>
      <c r="AF149" s="189">
        <f t="shared" si="119"/>
        <v>81198</v>
      </c>
      <c r="AG149" s="189">
        <f t="shared" si="120"/>
        <v>128765.28153944161</v>
      </c>
      <c r="AH149" s="189">
        <f t="shared" si="121"/>
        <v>102916.50749144</v>
      </c>
      <c r="AI149" s="206">
        <f t="shared" si="124"/>
        <v>2167.6876065737451</v>
      </c>
      <c r="AJ149" s="206">
        <f t="shared" si="124"/>
        <v>5994</v>
      </c>
      <c r="AK149" s="189">
        <f t="shared" si="124"/>
        <v>5538.357539693272</v>
      </c>
      <c r="AL149" s="189">
        <f t="shared" si="124"/>
        <v>8059.3323712800047</v>
      </c>
      <c r="AM149" s="219">
        <f t="shared" si="122"/>
        <v>2.0906064420055343E-2</v>
      </c>
      <c r="AN149" s="214">
        <f t="shared" si="122"/>
        <v>7.3819552205719355E-2</v>
      </c>
      <c r="AO149" s="214">
        <f t="shared" si="122"/>
        <v>4.3011264165929992E-2</v>
      </c>
      <c r="AP149" s="214">
        <f t="shared" si="122"/>
        <v>7.8309423509637974E-2</v>
      </c>
    </row>
    <row r="150" spans="1:42" ht="15" customHeight="1" x14ac:dyDescent="0.25">
      <c r="A150" s="15">
        <v>732</v>
      </c>
      <c r="B150" s="56" t="s">
        <v>139</v>
      </c>
      <c r="C150" s="285">
        <v>19</v>
      </c>
      <c r="D150" s="286">
        <v>88699.837089463137</v>
      </c>
      <c r="E150" s="287">
        <v>79002</v>
      </c>
      <c r="F150" s="287">
        <v>-9697.8370894631371</v>
      </c>
      <c r="G150" s="133">
        <f t="shared" si="112"/>
        <v>-0.12275432380779142</v>
      </c>
      <c r="H150" s="276">
        <v>111185.8245247476</v>
      </c>
      <c r="I150" s="275">
        <v>101748.48496232</v>
      </c>
      <c r="J150" s="287">
        <v>-9437.3395624276018</v>
      </c>
      <c r="K150" s="133">
        <f t="shared" si="113"/>
        <v>-9.275164702376143E-2</v>
      </c>
      <c r="N150" s="164" t="s">
        <v>139</v>
      </c>
      <c r="O150" s="288">
        <v>18</v>
      </c>
      <c r="P150" s="289">
        <v>87575.360264404517</v>
      </c>
      <c r="Q150" s="290">
        <v>73572</v>
      </c>
      <c r="R150" s="290">
        <v>-14003.360264404517</v>
      </c>
      <c r="S150" s="181">
        <v>-0.19033545729903384</v>
      </c>
      <c r="T150" s="291">
        <v>108177.73642606633</v>
      </c>
      <c r="U150" s="277">
        <v>94292.856784160002</v>
      </c>
      <c r="V150" s="290">
        <v>-13884.879641906329</v>
      </c>
      <c r="W150" s="182">
        <v>-0.14725272004102449</v>
      </c>
      <c r="Z150" s="292" t="s">
        <v>139</v>
      </c>
      <c r="AA150" s="189">
        <f t="shared" si="114"/>
        <v>88699.837089463137</v>
      </c>
      <c r="AB150" s="189">
        <f t="shared" si="115"/>
        <v>79002</v>
      </c>
      <c r="AC150" s="189">
        <f t="shared" si="116"/>
        <v>111185.8245247476</v>
      </c>
      <c r="AD150" s="189">
        <f t="shared" si="117"/>
        <v>101748.48496232</v>
      </c>
      <c r="AE150" s="189">
        <f t="shared" si="118"/>
        <v>87575.360264404517</v>
      </c>
      <c r="AF150" s="189">
        <f t="shared" si="119"/>
        <v>73572</v>
      </c>
      <c r="AG150" s="189">
        <f t="shared" si="120"/>
        <v>108177.73642606633</v>
      </c>
      <c r="AH150" s="189">
        <f t="shared" si="121"/>
        <v>94292.856784160002</v>
      </c>
      <c r="AI150" s="206">
        <f t="shared" si="124"/>
        <v>1124.4768250586203</v>
      </c>
      <c r="AJ150" s="206">
        <f t="shared" si="124"/>
        <v>5430</v>
      </c>
      <c r="AK150" s="189">
        <f t="shared" si="124"/>
        <v>3008.0880986812699</v>
      </c>
      <c r="AL150" s="189">
        <f t="shared" si="124"/>
        <v>7455.6281781599973</v>
      </c>
      <c r="AM150" s="219">
        <f t="shared" si="122"/>
        <v>1.2840105043971713E-2</v>
      </c>
      <c r="AN150" s="214">
        <f t="shared" si="122"/>
        <v>7.3805251998042734E-2</v>
      </c>
      <c r="AO150" s="214">
        <f t="shared" si="122"/>
        <v>2.7806905543241205E-2</v>
      </c>
      <c r="AP150" s="214">
        <f t="shared" si="122"/>
        <v>7.90688545498862E-2</v>
      </c>
    </row>
    <row r="151" spans="1:42" ht="15" customHeight="1" x14ac:dyDescent="0.25">
      <c r="A151" s="15">
        <v>734</v>
      </c>
      <c r="B151" s="56" t="s">
        <v>140</v>
      </c>
      <c r="C151" s="285">
        <v>16</v>
      </c>
      <c r="D151" s="286">
        <v>92201.226770549532</v>
      </c>
      <c r="E151" s="287">
        <v>69864</v>
      </c>
      <c r="F151" s="287">
        <v>-22337.226770549532</v>
      </c>
      <c r="G151" s="133">
        <f t="shared" si="112"/>
        <v>-0.3197244184494093</v>
      </c>
      <c r="H151" s="276">
        <v>115594.3693753939</v>
      </c>
      <c r="I151" s="275">
        <v>91453.055282240006</v>
      </c>
      <c r="J151" s="287">
        <v>-24141.314093153895</v>
      </c>
      <c r="K151" s="133">
        <f t="shared" si="113"/>
        <v>-0.26397493247928794</v>
      </c>
      <c r="N151" s="164" t="s">
        <v>140</v>
      </c>
      <c r="O151" s="288">
        <v>13</v>
      </c>
      <c r="P151" s="289">
        <v>82767.09384076616</v>
      </c>
      <c r="Q151" s="290">
        <v>61866</v>
      </c>
      <c r="R151" s="290">
        <v>-20901.09384076616</v>
      </c>
      <c r="S151" s="181">
        <v>-0.33784459704467978</v>
      </c>
      <c r="T151" s="291">
        <v>103882.11825792617</v>
      </c>
      <c r="U151" s="277">
        <v>81055.451174479997</v>
      </c>
      <c r="V151" s="290">
        <v>-22826.667083446169</v>
      </c>
      <c r="W151" s="182">
        <v>-0.28161791406613079</v>
      </c>
      <c r="Z151" s="292" t="s">
        <v>140</v>
      </c>
      <c r="AA151" s="189">
        <f t="shared" si="114"/>
        <v>92201.226770549532</v>
      </c>
      <c r="AB151" s="189">
        <f t="shared" si="115"/>
        <v>69864</v>
      </c>
      <c r="AC151" s="189">
        <f t="shared" si="116"/>
        <v>115594.3693753939</v>
      </c>
      <c r="AD151" s="189">
        <f t="shared" si="117"/>
        <v>91453.055282240006</v>
      </c>
      <c r="AE151" s="189">
        <f t="shared" si="118"/>
        <v>82767.09384076616</v>
      </c>
      <c r="AF151" s="189">
        <f t="shared" si="119"/>
        <v>61866</v>
      </c>
      <c r="AG151" s="189">
        <f t="shared" si="120"/>
        <v>103882.11825792617</v>
      </c>
      <c r="AH151" s="189">
        <f t="shared" si="121"/>
        <v>81055.451174479997</v>
      </c>
      <c r="AI151" s="206">
        <f t="shared" si="124"/>
        <v>9434.1329297833727</v>
      </c>
      <c r="AJ151" s="206">
        <f t="shared" si="124"/>
        <v>7998</v>
      </c>
      <c r="AK151" s="189">
        <f t="shared" si="124"/>
        <v>11712.251117467735</v>
      </c>
      <c r="AL151" s="189">
        <f t="shared" si="124"/>
        <v>10397.604107760009</v>
      </c>
      <c r="AM151" s="219">
        <f t="shared" si="122"/>
        <v>0.11398410276351492</v>
      </c>
      <c r="AN151" s="214">
        <f t="shared" si="122"/>
        <v>0.12927941033847348</v>
      </c>
      <c r="AO151" s="214">
        <f t="shared" si="122"/>
        <v>0.11274559388929378</v>
      </c>
      <c r="AP151" s="214">
        <f t="shared" si="122"/>
        <v>0.12827766617914596</v>
      </c>
    </row>
    <row r="152" spans="1:42" ht="15" customHeight="1" x14ac:dyDescent="0.25">
      <c r="A152" s="15">
        <v>735</v>
      </c>
      <c r="B152" s="56" t="s">
        <v>141</v>
      </c>
      <c r="C152" s="285">
        <v>15</v>
      </c>
      <c r="D152" s="286">
        <v>96258.065284953351</v>
      </c>
      <c r="E152" s="287">
        <v>69864</v>
      </c>
      <c r="F152" s="287">
        <v>-26394.065284953351</v>
      </c>
      <c r="G152" s="133">
        <f t="shared" si="112"/>
        <v>-0.37779207152400879</v>
      </c>
      <c r="H152" s="276">
        <v>120280.89680890665</v>
      </c>
      <c r="I152" s="275">
        <v>91453.055282240006</v>
      </c>
      <c r="J152" s="287">
        <v>-28827.841526666642</v>
      </c>
      <c r="K152" s="133">
        <f t="shared" si="113"/>
        <v>-0.31522010322890709</v>
      </c>
      <c r="N152" s="164" t="s">
        <v>141</v>
      </c>
      <c r="O152" s="288">
        <v>13</v>
      </c>
      <c r="P152" s="289">
        <v>85363.775577299413</v>
      </c>
      <c r="Q152" s="290">
        <v>65064</v>
      </c>
      <c r="R152" s="290">
        <v>-20299.775577299413</v>
      </c>
      <c r="S152" s="181">
        <v>-0.31199704256269845</v>
      </c>
      <c r="T152" s="291">
        <v>107172.29999445942</v>
      </c>
      <c r="U152" s="277">
        <v>84671.820825920004</v>
      </c>
      <c r="V152" s="290">
        <v>-22500.479168539416</v>
      </c>
      <c r="W152" s="182">
        <v>-0.26573751395755385</v>
      </c>
      <c r="Z152" s="292" t="s">
        <v>141</v>
      </c>
      <c r="AA152" s="189">
        <f t="shared" si="114"/>
        <v>96258.065284953351</v>
      </c>
      <c r="AB152" s="189">
        <f t="shared" si="115"/>
        <v>69864</v>
      </c>
      <c r="AC152" s="189">
        <f t="shared" si="116"/>
        <v>120280.89680890665</v>
      </c>
      <c r="AD152" s="189">
        <f t="shared" si="117"/>
        <v>91453.055282240006</v>
      </c>
      <c r="AE152" s="189">
        <f t="shared" si="118"/>
        <v>85363.775577299413</v>
      </c>
      <c r="AF152" s="189">
        <f t="shared" si="119"/>
        <v>65064</v>
      </c>
      <c r="AG152" s="189">
        <f t="shared" si="120"/>
        <v>107172.29999445942</v>
      </c>
      <c r="AH152" s="189">
        <f t="shared" si="121"/>
        <v>84671.820825920004</v>
      </c>
      <c r="AI152" s="206">
        <f t="shared" si="124"/>
        <v>10894.289707653938</v>
      </c>
      <c r="AJ152" s="206">
        <f t="shared" si="124"/>
        <v>4800</v>
      </c>
      <c r="AK152" s="189">
        <f t="shared" si="124"/>
        <v>13108.596814447228</v>
      </c>
      <c r="AL152" s="189">
        <f t="shared" si="124"/>
        <v>6781.2344563200022</v>
      </c>
      <c r="AM152" s="219">
        <f t="shared" si="122"/>
        <v>0.1276219290205696</v>
      </c>
      <c r="AN152" s="214">
        <f t="shared" si="122"/>
        <v>7.3773515308004425E-2</v>
      </c>
      <c r="AO152" s="214">
        <f t="shared" si="122"/>
        <v>0.12231329191521424</v>
      </c>
      <c r="AP152" s="214">
        <f t="shared" si="122"/>
        <v>8.0088444894338556E-2</v>
      </c>
    </row>
    <row r="153" spans="1:42" ht="15" customHeight="1" x14ac:dyDescent="0.25">
      <c r="A153" s="15">
        <v>736</v>
      </c>
      <c r="B153" s="56" t="s">
        <v>142</v>
      </c>
      <c r="C153" s="285">
        <v>5</v>
      </c>
      <c r="D153" s="286">
        <v>72300</v>
      </c>
      <c r="E153" s="287">
        <v>58734</v>
      </c>
      <c r="F153" s="287">
        <v>-13566</v>
      </c>
      <c r="G153" s="133">
        <f t="shared" si="112"/>
        <v>-0.23097354173051385</v>
      </c>
      <c r="H153" s="276">
        <v>87932</v>
      </c>
      <c r="I153" s="275">
        <v>78913.316571439995</v>
      </c>
      <c r="J153" s="287">
        <v>-9018.6834285600053</v>
      </c>
      <c r="K153" s="133">
        <f t="shared" si="113"/>
        <v>-0.11428595096995343</v>
      </c>
      <c r="N153" s="164" t="s">
        <v>142</v>
      </c>
      <c r="O153" s="288">
        <v>5</v>
      </c>
      <c r="P153" s="289">
        <v>64168</v>
      </c>
      <c r="Q153" s="290">
        <v>54696</v>
      </c>
      <c r="R153" s="290">
        <v>-9472</v>
      </c>
      <c r="S153" s="181">
        <v>-0.17317536931402663</v>
      </c>
      <c r="T153" s="291">
        <v>77830.720000000001</v>
      </c>
      <c r="U153" s="277">
        <v>72947.455426879998</v>
      </c>
      <c r="V153" s="290">
        <v>-4883.2645731200028</v>
      </c>
      <c r="W153" s="182">
        <v>-6.6942219499552216E-2</v>
      </c>
      <c r="Z153" s="292" t="s">
        <v>142</v>
      </c>
      <c r="AA153" s="189">
        <f t="shared" si="114"/>
        <v>72300</v>
      </c>
      <c r="AB153" s="189">
        <f t="shared" si="115"/>
        <v>58734</v>
      </c>
      <c r="AC153" s="189">
        <f t="shared" si="116"/>
        <v>87932</v>
      </c>
      <c r="AD153" s="189">
        <f t="shared" si="117"/>
        <v>78913.316571439995</v>
      </c>
      <c r="AE153" s="189">
        <f t="shared" si="118"/>
        <v>64168</v>
      </c>
      <c r="AF153" s="189">
        <f t="shared" si="119"/>
        <v>54696</v>
      </c>
      <c r="AG153" s="189">
        <f t="shared" si="120"/>
        <v>77830.720000000001</v>
      </c>
      <c r="AH153" s="189">
        <f t="shared" si="121"/>
        <v>72947.455426879998</v>
      </c>
      <c r="AI153" s="206">
        <f t="shared" si="124"/>
        <v>8132</v>
      </c>
      <c r="AJ153" s="206">
        <f t="shared" si="124"/>
        <v>4038</v>
      </c>
      <c r="AK153" s="189">
        <f t="shared" si="124"/>
        <v>10101.279999999999</v>
      </c>
      <c r="AL153" s="189">
        <f t="shared" si="124"/>
        <v>5965.8611445599963</v>
      </c>
      <c r="AM153" s="219">
        <f t="shared" si="122"/>
        <v>0.12672983418526368</v>
      </c>
      <c r="AN153" s="214">
        <f t="shared" si="122"/>
        <v>7.3826239578762609E-2</v>
      </c>
      <c r="AO153" s="214">
        <f t="shared" si="122"/>
        <v>0.12978525702961502</v>
      </c>
      <c r="AP153" s="214">
        <f t="shared" si="122"/>
        <v>8.1782991739032876E-2</v>
      </c>
    </row>
    <row r="154" spans="1:42" ht="15" customHeight="1" x14ac:dyDescent="0.25">
      <c r="A154" s="15">
        <v>737</v>
      </c>
      <c r="B154" s="56" t="s">
        <v>143</v>
      </c>
      <c r="C154" s="285">
        <v>14</v>
      </c>
      <c r="D154" s="286">
        <v>90662.349823750163</v>
      </c>
      <c r="E154" s="287">
        <v>80970</v>
      </c>
      <c r="F154" s="287">
        <v>-9692.3498237501626</v>
      </c>
      <c r="G154" s="133">
        <f t="shared" si="112"/>
        <v>-0.11970297423428632</v>
      </c>
      <c r="H154" s="276">
        <v>113791.47463155288</v>
      </c>
      <c r="I154" s="275">
        <v>103965.75412520001</v>
      </c>
      <c r="J154" s="287">
        <v>-9825.7205063528672</v>
      </c>
      <c r="K154" s="133">
        <f t="shared" si="113"/>
        <v>-9.450920246796185E-2</v>
      </c>
      <c r="N154" s="164" t="s">
        <v>143</v>
      </c>
      <c r="O154" s="288">
        <v>14</v>
      </c>
      <c r="P154" s="289">
        <v>80315.506244817356</v>
      </c>
      <c r="Q154" s="290">
        <v>75408</v>
      </c>
      <c r="R154" s="290">
        <v>-4907.5062448173558</v>
      </c>
      <c r="S154" s="181">
        <v>-6.5079384744554367E-2</v>
      </c>
      <c r="T154" s="291">
        <v>101243.0055388777</v>
      </c>
      <c r="U154" s="277">
        <v>96369.046490239998</v>
      </c>
      <c r="V154" s="290">
        <v>-4873.9590486376983</v>
      </c>
      <c r="W154" s="182">
        <v>-5.0575980837698958E-2</v>
      </c>
      <c r="Z154" s="292" t="s">
        <v>143</v>
      </c>
      <c r="AA154" s="189">
        <f t="shared" si="114"/>
        <v>90662.349823750163</v>
      </c>
      <c r="AB154" s="189">
        <f t="shared" si="115"/>
        <v>80970</v>
      </c>
      <c r="AC154" s="189">
        <f t="shared" si="116"/>
        <v>113791.47463155288</v>
      </c>
      <c r="AD154" s="189">
        <f t="shared" si="117"/>
        <v>103965.75412520001</v>
      </c>
      <c r="AE154" s="189">
        <f t="shared" si="118"/>
        <v>80315.506244817356</v>
      </c>
      <c r="AF154" s="189">
        <f t="shared" si="119"/>
        <v>75408</v>
      </c>
      <c r="AG154" s="189">
        <f t="shared" si="120"/>
        <v>101243.0055388777</v>
      </c>
      <c r="AH154" s="189">
        <f t="shared" si="121"/>
        <v>96369.046490239998</v>
      </c>
      <c r="AI154" s="206">
        <f t="shared" si="124"/>
        <v>10346.843578932807</v>
      </c>
      <c r="AJ154" s="206">
        <f t="shared" si="124"/>
        <v>5562</v>
      </c>
      <c r="AK154" s="189">
        <f t="shared" si="124"/>
        <v>12548.469092675179</v>
      </c>
      <c r="AL154" s="189">
        <f t="shared" si="124"/>
        <v>7596.7076349600102</v>
      </c>
      <c r="AM154" s="219">
        <f t="shared" si="122"/>
        <v>0.12882747134026157</v>
      </c>
      <c r="AN154" s="214">
        <f t="shared" si="122"/>
        <v>7.3758752387014639E-2</v>
      </c>
      <c r="AO154" s="214">
        <f t="shared" si="122"/>
        <v>0.12394405940325942</v>
      </c>
      <c r="AP154" s="214">
        <f t="shared" si="122"/>
        <v>7.8829332774703595E-2</v>
      </c>
    </row>
    <row r="155" spans="1:42" ht="15" customHeight="1" x14ac:dyDescent="0.25">
      <c r="A155" s="15">
        <v>738</v>
      </c>
      <c r="B155" s="56" t="s">
        <v>144</v>
      </c>
      <c r="C155" s="285">
        <v>3</v>
      </c>
      <c r="D155" s="286" t="s">
        <v>684</v>
      </c>
      <c r="E155" s="287" t="s">
        <v>684</v>
      </c>
      <c r="F155" s="287" t="s">
        <v>484</v>
      </c>
      <c r="G155" s="133" t="str">
        <f t="shared" si="112"/>
        <v>--</v>
      </c>
      <c r="H155" s="276" t="s">
        <v>684</v>
      </c>
      <c r="I155" s="275" t="s">
        <v>684</v>
      </c>
      <c r="J155" s="287" t="s">
        <v>484</v>
      </c>
      <c r="K155" s="133" t="str">
        <f t="shared" si="113"/>
        <v>--</v>
      </c>
      <c r="N155" s="164" t="s">
        <v>144</v>
      </c>
      <c r="O155" s="288">
        <v>3</v>
      </c>
      <c r="P155" s="289" t="s">
        <v>684</v>
      </c>
      <c r="Q155" s="290" t="s">
        <v>684</v>
      </c>
      <c r="R155" s="290" t="s">
        <v>484</v>
      </c>
      <c r="S155" s="181" t="s">
        <v>484</v>
      </c>
      <c r="T155" s="291" t="s">
        <v>684</v>
      </c>
      <c r="U155" s="277" t="s">
        <v>684</v>
      </c>
      <c r="V155" s="290" t="s">
        <v>484</v>
      </c>
      <c r="W155" s="182" t="s">
        <v>484</v>
      </c>
      <c r="Z155" s="292" t="s">
        <v>144</v>
      </c>
      <c r="AA155" s="189" t="str">
        <f t="shared" si="114"/>
        <v>-</v>
      </c>
      <c r="AB155" s="189" t="str">
        <f t="shared" si="115"/>
        <v>-</v>
      </c>
      <c r="AC155" s="189" t="str">
        <f t="shared" si="116"/>
        <v>-</v>
      </c>
      <c r="AD155" s="189" t="str">
        <f t="shared" si="117"/>
        <v>-</v>
      </c>
      <c r="AE155" s="189" t="str">
        <f t="shared" si="118"/>
        <v>-</v>
      </c>
      <c r="AF155" s="189" t="str">
        <f t="shared" si="119"/>
        <v>-</v>
      </c>
      <c r="AG155" s="189" t="str">
        <f t="shared" si="120"/>
        <v>-</v>
      </c>
      <c r="AH155" s="189" t="str">
        <f t="shared" si="121"/>
        <v>-</v>
      </c>
      <c r="AI155" s="206" t="str">
        <f t="shared" si="124"/>
        <v>-</v>
      </c>
      <c r="AJ155" s="206" t="str">
        <f t="shared" si="124"/>
        <v>-</v>
      </c>
      <c r="AK155" s="189" t="str">
        <f t="shared" si="124"/>
        <v>-</v>
      </c>
      <c r="AL155" s="189" t="str">
        <f t="shared" si="124"/>
        <v>-</v>
      </c>
      <c r="AM155" s="219" t="str">
        <f t="shared" si="122"/>
        <v>-</v>
      </c>
      <c r="AN155" s="214" t="str">
        <f t="shared" si="122"/>
        <v>-</v>
      </c>
      <c r="AO155" s="214" t="str">
        <f t="shared" si="122"/>
        <v>-</v>
      </c>
      <c r="AP155" s="214" t="str">
        <f t="shared" si="122"/>
        <v>-</v>
      </c>
    </row>
    <row r="156" spans="1:42" ht="15" customHeight="1" x14ac:dyDescent="0.25">
      <c r="A156" s="15">
        <v>739</v>
      </c>
      <c r="B156" s="56" t="s">
        <v>145</v>
      </c>
      <c r="C156" s="285">
        <v>3</v>
      </c>
      <c r="D156" s="286" t="s">
        <v>684</v>
      </c>
      <c r="E156" s="287" t="s">
        <v>684</v>
      </c>
      <c r="F156" s="287" t="s">
        <v>484</v>
      </c>
      <c r="G156" s="133" t="str">
        <f t="shared" si="112"/>
        <v>--</v>
      </c>
      <c r="H156" s="276" t="s">
        <v>684</v>
      </c>
      <c r="I156" s="275" t="s">
        <v>684</v>
      </c>
      <c r="J156" s="287" t="s">
        <v>484</v>
      </c>
      <c r="K156" s="133" t="str">
        <f t="shared" si="113"/>
        <v>--</v>
      </c>
      <c r="N156" s="164" t="s">
        <v>145</v>
      </c>
      <c r="O156" s="288">
        <v>3</v>
      </c>
      <c r="P156" s="289" t="s">
        <v>684</v>
      </c>
      <c r="Q156" s="290" t="s">
        <v>684</v>
      </c>
      <c r="R156" s="290" t="s">
        <v>484</v>
      </c>
      <c r="S156" s="181" t="s">
        <v>484</v>
      </c>
      <c r="T156" s="291" t="s">
        <v>684</v>
      </c>
      <c r="U156" s="277" t="s">
        <v>684</v>
      </c>
      <c r="V156" s="290" t="s">
        <v>484</v>
      </c>
      <c r="W156" s="182" t="s">
        <v>484</v>
      </c>
      <c r="Z156" s="292" t="s">
        <v>145</v>
      </c>
      <c r="AA156" s="189" t="str">
        <f t="shared" si="114"/>
        <v>-</v>
      </c>
      <c r="AB156" s="189" t="str">
        <f t="shared" si="115"/>
        <v>-</v>
      </c>
      <c r="AC156" s="189" t="str">
        <f t="shared" si="116"/>
        <v>-</v>
      </c>
      <c r="AD156" s="189" t="str">
        <f t="shared" si="117"/>
        <v>-</v>
      </c>
      <c r="AE156" s="189" t="str">
        <f t="shared" si="118"/>
        <v>-</v>
      </c>
      <c r="AF156" s="189" t="str">
        <f t="shared" si="119"/>
        <v>-</v>
      </c>
      <c r="AG156" s="189" t="str">
        <f t="shared" si="120"/>
        <v>-</v>
      </c>
      <c r="AH156" s="189" t="str">
        <f t="shared" si="121"/>
        <v>-</v>
      </c>
      <c r="AI156" s="206" t="str">
        <f t="shared" si="124"/>
        <v>-</v>
      </c>
      <c r="AJ156" s="206" t="str">
        <f t="shared" si="124"/>
        <v>-</v>
      </c>
      <c r="AK156" s="189" t="str">
        <f t="shared" si="124"/>
        <v>-</v>
      </c>
      <c r="AL156" s="189" t="str">
        <f t="shared" si="124"/>
        <v>-</v>
      </c>
      <c r="AM156" s="219" t="str">
        <f t="shared" si="122"/>
        <v>-</v>
      </c>
      <c r="AN156" s="214" t="str">
        <f t="shared" si="122"/>
        <v>-</v>
      </c>
      <c r="AO156" s="214" t="str">
        <f t="shared" si="122"/>
        <v>-</v>
      </c>
      <c r="AP156" s="214" t="str">
        <f t="shared" si="122"/>
        <v>-</v>
      </c>
    </row>
    <row r="157" spans="1:42" ht="15" customHeight="1" x14ac:dyDescent="0.25">
      <c r="A157" s="15">
        <v>740</v>
      </c>
      <c r="B157" s="56" t="s">
        <v>146</v>
      </c>
      <c r="C157" s="285">
        <v>7</v>
      </c>
      <c r="D157" s="286">
        <v>77610.504000000001</v>
      </c>
      <c r="E157" s="287">
        <v>63258</v>
      </c>
      <c r="F157" s="287">
        <v>-14352.504000000001</v>
      </c>
      <c r="G157" s="133">
        <f t="shared" si="112"/>
        <v>-0.22688836194631509</v>
      </c>
      <c r="H157" s="276">
        <v>93447.207999999999</v>
      </c>
      <c r="I157" s="275">
        <v>84010.331659279997</v>
      </c>
      <c r="J157" s="287">
        <v>-9436.8763407200022</v>
      </c>
      <c r="K157" s="133">
        <f t="shared" si="113"/>
        <v>-0.11232994983275466</v>
      </c>
      <c r="N157" s="164" t="s">
        <v>146</v>
      </c>
      <c r="O157" s="288">
        <v>7</v>
      </c>
      <c r="P157" s="289">
        <v>67988.030233793659</v>
      </c>
      <c r="Q157" s="290">
        <v>53364</v>
      </c>
      <c r="R157" s="290">
        <v>-14624.030233793659</v>
      </c>
      <c r="S157" s="181">
        <v>-0.27404299216313732</v>
      </c>
      <c r="T157" s="291">
        <v>81897.022233793658</v>
      </c>
      <c r="U157" s="277">
        <v>71441.200149919998</v>
      </c>
      <c r="V157" s="290">
        <v>-10455.82208387366</v>
      </c>
      <c r="W157" s="182">
        <v>-0.14635563319110015</v>
      </c>
      <c r="Z157" s="292" t="s">
        <v>146</v>
      </c>
      <c r="AA157" s="189">
        <f t="shared" si="114"/>
        <v>77610.504000000001</v>
      </c>
      <c r="AB157" s="189">
        <f t="shared" si="115"/>
        <v>63258</v>
      </c>
      <c r="AC157" s="189">
        <f t="shared" si="116"/>
        <v>93447.207999999999</v>
      </c>
      <c r="AD157" s="189">
        <f t="shared" si="117"/>
        <v>84010.331659279997</v>
      </c>
      <c r="AE157" s="189">
        <f t="shared" si="118"/>
        <v>67988.030233793659</v>
      </c>
      <c r="AF157" s="189">
        <f t="shared" si="119"/>
        <v>53364</v>
      </c>
      <c r="AG157" s="189">
        <f t="shared" si="120"/>
        <v>81897.022233793658</v>
      </c>
      <c r="AH157" s="189">
        <f t="shared" si="121"/>
        <v>71441.200149919998</v>
      </c>
      <c r="AI157" s="206">
        <f t="shared" si="124"/>
        <v>9622.4737662063417</v>
      </c>
      <c r="AJ157" s="206">
        <f t="shared" si="124"/>
        <v>9894</v>
      </c>
      <c r="AK157" s="189">
        <f t="shared" si="124"/>
        <v>11550.185766206341</v>
      </c>
      <c r="AL157" s="189">
        <f t="shared" si="124"/>
        <v>12569.131509359999</v>
      </c>
      <c r="AM157" s="219">
        <f t="shared" si="122"/>
        <v>0.14153188043714585</v>
      </c>
      <c r="AN157" s="214">
        <f t="shared" si="122"/>
        <v>0.1854058916123229</v>
      </c>
      <c r="AO157" s="214">
        <f t="shared" si="122"/>
        <v>0.14103303699167122</v>
      </c>
      <c r="AP157" s="214">
        <f t="shared" si="122"/>
        <v>0.1759367351469959</v>
      </c>
    </row>
    <row r="158" spans="1:42" ht="15" customHeight="1" x14ac:dyDescent="0.25">
      <c r="A158" s="15">
        <v>741</v>
      </c>
      <c r="B158" s="56" t="s">
        <v>147</v>
      </c>
      <c r="C158" s="285">
        <v>4</v>
      </c>
      <c r="D158" s="286" t="s">
        <v>684</v>
      </c>
      <c r="E158" s="287" t="s">
        <v>684</v>
      </c>
      <c r="F158" s="287" t="s">
        <v>484</v>
      </c>
      <c r="G158" s="133" t="str">
        <f t="shared" si="112"/>
        <v>--</v>
      </c>
      <c r="H158" s="276" t="s">
        <v>684</v>
      </c>
      <c r="I158" s="275" t="s">
        <v>684</v>
      </c>
      <c r="J158" s="287" t="s">
        <v>484</v>
      </c>
      <c r="K158" s="133" t="str">
        <f t="shared" si="113"/>
        <v>--</v>
      </c>
      <c r="N158" s="164" t="s">
        <v>147</v>
      </c>
      <c r="O158" s="288">
        <v>4</v>
      </c>
      <c r="P158" s="289" t="s">
        <v>684</v>
      </c>
      <c r="Q158" s="290" t="s">
        <v>684</v>
      </c>
      <c r="R158" s="290" t="s">
        <v>484</v>
      </c>
      <c r="S158" s="181" t="s">
        <v>484</v>
      </c>
      <c r="T158" s="291" t="s">
        <v>684</v>
      </c>
      <c r="U158" s="277" t="s">
        <v>684</v>
      </c>
      <c r="V158" s="290" t="s">
        <v>484</v>
      </c>
      <c r="W158" s="182" t="s">
        <v>484</v>
      </c>
      <c r="Z158" s="292" t="s">
        <v>147</v>
      </c>
      <c r="AA158" s="189" t="str">
        <f t="shared" si="114"/>
        <v>-</v>
      </c>
      <c r="AB158" s="189" t="str">
        <f t="shared" si="115"/>
        <v>-</v>
      </c>
      <c r="AC158" s="189" t="str">
        <f t="shared" si="116"/>
        <v>-</v>
      </c>
      <c r="AD158" s="189" t="str">
        <f t="shared" si="117"/>
        <v>-</v>
      </c>
      <c r="AE158" s="189" t="str">
        <f t="shared" si="118"/>
        <v>-</v>
      </c>
      <c r="AF158" s="189" t="str">
        <f t="shared" si="119"/>
        <v>-</v>
      </c>
      <c r="AG158" s="189" t="str">
        <f t="shared" si="120"/>
        <v>-</v>
      </c>
      <c r="AH158" s="189" t="str">
        <f t="shared" si="121"/>
        <v>-</v>
      </c>
      <c r="AI158" s="206" t="str">
        <f t="shared" si="124"/>
        <v>-</v>
      </c>
      <c r="AJ158" s="206" t="str">
        <f t="shared" si="124"/>
        <v>-</v>
      </c>
      <c r="AK158" s="189" t="str">
        <f t="shared" si="124"/>
        <v>-</v>
      </c>
      <c r="AL158" s="189" t="str">
        <f t="shared" si="124"/>
        <v>-</v>
      </c>
      <c r="AM158" s="219" t="str">
        <f t="shared" si="122"/>
        <v>-</v>
      </c>
      <c r="AN158" s="214" t="str">
        <f t="shared" si="122"/>
        <v>-</v>
      </c>
      <c r="AO158" s="214" t="str">
        <f t="shared" si="122"/>
        <v>-</v>
      </c>
      <c r="AP158" s="214" t="str">
        <f t="shared" si="122"/>
        <v>-</v>
      </c>
    </row>
    <row r="159" spans="1:42" ht="15.75" x14ac:dyDescent="0.25">
      <c r="A159" s="15">
        <v>742</v>
      </c>
      <c r="B159" s="56" t="s">
        <v>148</v>
      </c>
      <c r="C159" s="285">
        <v>4</v>
      </c>
      <c r="D159" s="286" t="s">
        <v>684</v>
      </c>
      <c r="E159" s="287" t="s">
        <v>684</v>
      </c>
      <c r="F159" s="287" t="s">
        <v>484</v>
      </c>
      <c r="G159" s="133" t="str">
        <f t="shared" si="112"/>
        <v>--</v>
      </c>
      <c r="H159" s="276" t="s">
        <v>684</v>
      </c>
      <c r="I159" s="275" t="s">
        <v>684</v>
      </c>
      <c r="J159" s="287" t="s">
        <v>484</v>
      </c>
      <c r="K159" s="133" t="str">
        <f t="shared" si="113"/>
        <v>--</v>
      </c>
      <c r="N159" s="164" t="s">
        <v>148</v>
      </c>
      <c r="O159" s="288">
        <v>3</v>
      </c>
      <c r="P159" s="289" t="s">
        <v>684</v>
      </c>
      <c r="Q159" s="290" t="s">
        <v>684</v>
      </c>
      <c r="R159" s="290" t="s">
        <v>484</v>
      </c>
      <c r="S159" s="181" t="s">
        <v>484</v>
      </c>
      <c r="T159" s="291" t="s">
        <v>684</v>
      </c>
      <c r="U159" s="277" t="s">
        <v>684</v>
      </c>
      <c r="V159" s="290" t="s">
        <v>484</v>
      </c>
      <c r="W159" s="182" t="s">
        <v>484</v>
      </c>
      <c r="Z159" s="292" t="s">
        <v>148</v>
      </c>
      <c r="AA159" s="189" t="str">
        <f t="shared" si="114"/>
        <v>-</v>
      </c>
      <c r="AB159" s="189" t="str">
        <f t="shared" si="115"/>
        <v>-</v>
      </c>
      <c r="AC159" s="189" t="str">
        <f t="shared" si="116"/>
        <v>-</v>
      </c>
      <c r="AD159" s="189" t="str">
        <f t="shared" si="117"/>
        <v>-</v>
      </c>
      <c r="AE159" s="189" t="str">
        <f t="shared" si="118"/>
        <v>-</v>
      </c>
      <c r="AF159" s="189" t="str">
        <f t="shared" si="119"/>
        <v>-</v>
      </c>
      <c r="AG159" s="189" t="str">
        <f t="shared" si="120"/>
        <v>-</v>
      </c>
      <c r="AH159" s="189" t="str">
        <f t="shared" si="121"/>
        <v>-</v>
      </c>
      <c r="AI159" s="206" t="str">
        <f t="shared" si="124"/>
        <v>-</v>
      </c>
      <c r="AJ159" s="206" t="str">
        <f t="shared" si="124"/>
        <v>-</v>
      </c>
      <c r="AK159" s="189" t="str">
        <f t="shared" si="124"/>
        <v>-</v>
      </c>
      <c r="AL159" s="189" t="str">
        <f t="shared" si="124"/>
        <v>-</v>
      </c>
      <c r="AM159" s="219" t="str">
        <f t="shared" si="122"/>
        <v>-</v>
      </c>
      <c r="AN159" s="214" t="str">
        <f t="shared" si="122"/>
        <v>-</v>
      </c>
      <c r="AO159" s="214" t="str">
        <f t="shared" si="122"/>
        <v>-</v>
      </c>
      <c r="AP159" s="214" t="str">
        <f t="shared" si="122"/>
        <v>-</v>
      </c>
    </row>
    <row r="160" spans="1:42" ht="15" customHeight="1" x14ac:dyDescent="0.25">
      <c r="A160" s="15">
        <v>743</v>
      </c>
      <c r="B160" s="56" t="s">
        <v>149</v>
      </c>
      <c r="C160" s="285">
        <v>7</v>
      </c>
      <c r="D160" s="286">
        <v>75385.599239142815</v>
      </c>
      <c r="E160" s="287">
        <v>61710</v>
      </c>
      <c r="F160" s="287">
        <v>-13675.599239142815</v>
      </c>
      <c r="G160" s="133">
        <f t="shared" si="112"/>
        <v>-0.22161074767692132</v>
      </c>
      <c r="H160" s="276">
        <v>97350.959638259374</v>
      </c>
      <c r="I160" s="275">
        <v>82266.260183599996</v>
      </c>
      <c r="J160" s="287">
        <v>-15084.699454659378</v>
      </c>
      <c r="K160" s="133">
        <f t="shared" si="113"/>
        <v>-0.18336435157005659</v>
      </c>
      <c r="N160" s="164" t="s">
        <v>149</v>
      </c>
      <c r="O160" s="288">
        <v>5</v>
      </c>
      <c r="P160" s="289">
        <v>70825.935814150551</v>
      </c>
      <c r="Q160" s="290">
        <v>57462</v>
      </c>
      <c r="R160" s="290">
        <v>-13363.935814150551</v>
      </c>
      <c r="S160" s="181">
        <v>-0.23256997344593908</v>
      </c>
      <c r="T160" s="291">
        <v>85097.935814150551</v>
      </c>
      <c r="U160" s="277">
        <v>76075.309853359999</v>
      </c>
      <c r="V160" s="290">
        <v>-9022.6259607905522</v>
      </c>
      <c r="W160" s="182">
        <v>-0.11860123840681343</v>
      </c>
      <c r="Z160" s="292" t="s">
        <v>149</v>
      </c>
      <c r="AA160" s="189">
        <f t="shared" si="114"/>
        <v>75385.599239142815</v>
      </c>
      <c r="AB160" s="189">
        <f t="shared" si="115"/>
        <v>61710</v>
      </c>
      <c r="AC160" s="189">
        <f t="shared" si="116"/>
        <v>97350.959638259374</v>
      </c>
      <c r="AD160" s="189">
        <f t="shared" si="117"/>
        <v>82266.260183599996</v>
      </c>
      <c r="AE160" s="189">
        <f t="shared" si="118"/>
        <v>70825.935814150551</v>
      </c>
      <c r="AF160" s="189">
        <f t="shared" si="119"/>
        <v>57462</v>
      </c>
      <c r="AG160" s="189">
        <f t="shared" si="120"/>
        <v>85097.935814150551</v>
      </c>
      <c r="AH160" s="189">
        <f t="shared" si="121"/>
        <v>76075.309853359999</v>
      </c>
      <c r="AI160" s="206">
        <f t="shared" si="124"/>
        <v>4559.6634249922645</v>
      </c>
      <c r="AJ160" s="206">
        <f t="shared" si="124"/>
        <v>4248</v>
      </c>
      <c r="AK160" s="189">
        <f t="shared" si="124"/>
        <v>12253.023824108823</v>
      </c>
      <c r="AL160" s="189">
        <f t="shared" si="124"/>
        <v>6190.9503302399971</v>
      </c>
      <c r="AM160" s="219">
        <f t="shared" si="122"/>
        <v>6.4378442340062583E-2</v>
      </c>
      <c r="AN160" s="214">
        <f t="shared" si="122"/>
        <v>7.392711705126867E-2</v>
      </c>
      <c r="AO160" s="214">
        <f t="shared" si="122"/>
        <v>0.14398732127731967</v>
      </c>
      <c r="AP160" s="214">
        <f t="shared" si="122"/>
        <v>8.1379232528575277E-2</v>
      </c>
    </row>
    <row r="161" spans="1:55" ht="15" customHeight="1" x14ac:dyDescent="0.25">
      <c r="A161" s="15">
        <v>745</v>
      </c>
      <c r="B161" s="56" t="s">
        <v>150</v>
      </c>
      <c r="C161" s="285">
        <v>5</v>
      </c>
      <c r="D161" s="286">
        <v>88873.965116279069</v>
      </c>
      <c r="E161" s="287">
        <v>54582</v>
      </c>
      <c r="F161" s="287">
        <v>-34291.965116279069</v>
      </c>
      <c r="G161" s="133">
        <f t="shared" si="112"/>
        <v>-0.62826508952180327</v>
      </c>
      <c r="H161" s="276">
        <v>103729.96511627907</v>
      </c>
      <c r="I161" s="275">
        <v>74235.419435119999</v>
      </c>
      <c r="J161" s="287">
        <v>-29494.54568115907</v>
      </c>
      <c r="K161" s="133">
        <f t="shared" si="113"/>
        <v>-0.39731095891411522</v>
      </c>
      <c r="N161" s="164" t="s">
        <v>150</v>
      </c>
      <c r="O161" s="288">
        <v>5</v>
      </c>
      <c r="P161" s="289">
        <v>81738.664093264233</v>
      </c>
      <c r="Q161" s="290">
        <v>50826</v>
      </c>
      <c r="R161" s="290">
        <v>-30912.664093264233</v>
      </c>
      <c r="S161" s="181">
        <v>-0.60820572331610268</v>
      </c>
      <c r="T161" s="291">
        <v>94966.664093264233</v>
      </c>
      <c r="U161" s="277">
        <v>68571.173203280006</v>
      </c>
      <c r="V161" s="290">
        <v>-26395.490889984227</v>
      </c>
      <c r="W161" s="182">
        <v>-0.38493567569180276</v>
      </c>
      <c r="Z161" s="292" t="s">
        <v>150</v>
      </c>
      <c r="AA161" s="189">
        <f t="shared" si="114"/>
        <v>88873.965116279069</v>
      </c>
      <c r="AB161" s="189">
        <f t="shared" si="115"/>
        <v>54582</v>
      </c>
      <c r="AC161" s="189">
        <f t="shared" si="116"/>
        <v>103729.96511627907</v>
      </c>
      <c r="AD161" s="189">
        <f t="shared" si="117"/>
        <v>74235.419435119999</v>
      </c>
      <c r="AE161" s="189">
        <f t="shared" si="118"/>
        <v>81738.664093264233</v>
      </c>
      <c r="AF161" s="189">
        <f t="shared" si="119"/>
        <v>50826</v>
      </c>
      <c r="AG161" s="189">
        <f t="shared" si="120"/>
        <v>94966.664093264233</v>
      </c>
      <c r="AH161" s="189">
        <f t="shared" si="121"/>
        <v>68571.173203280006</v>
      </c>
      <c r="AI161" s="206">
        <f t="shared" si="124"/>
        <v>7135.3010230148357</v>
      </c>
      <c r="AJ161" s="206">
        <f t="shared" si="124"/>
        <v>3756</v>
      </c>
      <c r="AK161" s="189">
        <f t="shared" si="124"/>
        <v>8763.3010230148357</v>
      </c>
      <c r="AL161" s="189">
        <f t="shared" si="124"/>
        <v>5664.2462318399921</v>
      </c>
      <c r="AM161" s="219">
        <f t="shared" si="122"/>
        <v>8.7294074379212036E-2</v>
      </c>
      <c r="AN161" s="214">
        <f t="shared" si="122"/>
        <v>7.3899185456262548E-2</v>
      </c>
      <c r="AO161" s="214">
        <f t="shared" si="122"/>
        <v>9.227765455053398E-2</v>
      </c>
      <c r="AP161" s="214">
        <f t="shared" si="122"/>
        <v>8.2603898507734017E-2</v>
      </c>
    </row>
    <row r="162" spans="1:55" ht="15" customHeight="1" x14ac:dyDescent="0.25">
      <c r="A162" s="15">
        <v>746</v>
      </c>
      <c r="B162" s="56" t="s">
        <v>151</v>
      </c>
      <c r="C162" s="285">
        <v>3</v>
      </c>
      <c r="D162" s="286" t="s">
        <v>684</v>
      </c>
      <c r="E162" s="287" t="s">
        <v>684</v>
      </c>
      <c r="F162" s="287" t="s">
        <v>484</v>
      </c>
      <c r="G162" s="133" t="str">
        <f t="shared" si="112"/>
        <v>--</v>
      </c>
      <c r="H162" s="276" t="s">
        <v>684</v>
      </c>
      <c r="I162" s="275" t="s">
        <v>684</v>
      </c>
      <c r="J162" s="287" t="s">
        <v>484</v>
      </c>
      <c r="K162" s="133" t="str">
        <f t="shared" si="113"/>
        <v>--</v>
      </c>
      <c r="N162" s="164" t="s">
        <v>151</v>
      </c>
      <c r="O162" s="288">
        <v>3</v>
      </c>
      <c r="P162" s="289" t="s">
        <v>684</v>
      </c>
      <c r="Q162" s="290" t="s">
        <v>684</v>
      </c>
      <c r="R162" s="290" t="s">
        <v>484</v>
      </c>
      <c r="S162" s="181" t="s">
        <v>484</v>
      </c>
      <c r="T162" s="291" t="s">
        <v>684</v>
      </c>
      <c r="U162" s="277" t="s">
        <v>684</v>
      </c>
      <c r="V162" s="290" t="s">
        <v>484</v>
      </c>
      <c r="W162" s="182" t="s">
        <v>484</v>
      </c>
      <c r="Z162" s="292" t="s">
        <v>151</v>
      </c>
      <c r="AA162" s="189" t="str">
        <f t="shared" si="114"/>
        <v>-</v>
      </c>
      <c r="AB162" s="189" t="str">
        <f t="shared" si="115"/>
        <v>-</v>
      </c>
      <c r="AC162" s="189" t="str">
        <f t="shared" si="116"/>
        <v>-</v>
      </c>
      <c r="AD162" s="189" t="str">
        <f t="shared" si="117"/>
        <v>-</v>
      </c>
      <c r="AE162" s="189" t="str">
        <f t="shared" si="118"/>
        <v>-</v>
      </c>
      <c r="AF162" s="189" t="str">
        <f t="shared" si="119"/>
        <v>-</v>
      </c>
      <c r="AG162" s="189" t="str">
        <f t="shared" si="120"/>
        <v>-</v>
      </c>
      <c r="AH162" s="189" t="str">
        <f t="shared" si="121"/>
        <v>-</v>
      </c>
      <c r="AI162" s="206" t="str">
        <f t="shared" si="124"/>
        <v>-</v>
      </c>
      <c r="AJ162" s="206" t="str">
        <f t="shared" si="124"/>
        <v>-</v>
      </c>
      <c r="AK162" s="189" t="str">
        <f t="shared" si="124"/>
        <v>-</v>
      </c>
      <c r="AL162" s="189" t="str">
        <f t="shared" si="124"/>
        <v>-</v>
      </c>
      <c r="AM162" s="219" t="str">
        <f t="shared" si="122"/>
        <v>-</v>
      </c>
      <c r="AN162" s="214" t="str">
        <f t="shared" si="122"/>
        <v>-</v>
      </c>
      <c r="AO162" s="214" t="str">
        <f t="shared" si="122"/>
        <v>-</v>
      </c>
      <c r="AP162" s="214" t="str">
        <f t="shared" si="122"/>
        <v>-</v>
      </c>
    </row>
    <row r="163" spans="1:55" s="14" customFormat="1" ht="15" customHeight="1" x14ac:dyDescent="0.25">
      <c r="A163" s="15">
        <v>748</v>
      </c>
      <c r="B163" s="56" t="s">
        <v>152</v>
      </c>
      <c r="C163" s="285">
        <v>3</v>
      </c>
      <c r="D163" s="286" t="s">
        <v>684</v>
      </c>
      <c r="E163" s="287" t="s">
        <v>684</v>
      </c>
      <c r="F163" s="287" t="s">
        <v>484</v>
      </c>
      <c r="G163" s="133" t="str">
        <f t="shared" si="112"/>
        <v>--</v>
      </c>
      <c r="H163" s="276" t="s">
        <v>684</v>
      </c>
      <c r="I163" s="275" t="s">
        <v>684</v>
      </c>
      <c r="J163" s="287" t="s">
        <v>484</v>
      </c>
      <c r="K163" s="133" t="str">
        <f t="shared" si="113"/>
        <v>--</v>
      </c>
      <c r="L163"/>
      <c r="N163" s="164" t="s">
        <v>152</v>
      </c>
      <c r="O163" s="288">
        <v>3</v>
      </c>
      <c r="P163" s="289" t="s">
        <v>684</v>
      </c>
      <c r="Q163" s="290" t="s">
        <v>684</v>
      </c>
      <c r="R163" s="290" t="s">
        <v>484</v>
      </c>
      <c r="S163" s="181" t="s">
        <v>484</v>
      </c>
      <c r="T163" s="291" t="s">
        <v>684</v>
      </c>
      <c r="U163" s="277" t="s">
        <v>684</v>
      </c>
      <c r="V163" s="290" t="s">
        <v>484</v>
      </c>
      <c r="W163" s="182" t="s">
        <v>484</v>
      </c>
      <c r="Z163" s="292" t="s">
        <v>152</v>
      </c>
      <c r="AA163" s="189" t="str">
        <f t="shared" si="114"/>
        <v>-</v>
      </c>
      <c r="AB163" s="189" t="str">
        <f t="shared" si="115"/>
        <v>-</v>
      </c>
      <c r="AC163" s="189" t="str">
        <f t="shared" si="116"/>
        <v>-</v>
      </c>
      <c r="AD163" s="189" t="str">
        <f t="shared" si="117"/>
        <v>-</v>
      </c>
      <c r="AE163" s="189" t="str">
        <f t="shared" si="118"/>
        <v>-</v>
      </c>
      <c r="AF163" s="189" t="str">
        <f t="shared" si="119"/>
        <v>-</v>
      </c>
      <c r="AG163" s="189" t="str">
        <f t="shared" si="120"/>
        <v>-</v>
      </c>
      <c r="AH163" s="189" t="str">
        <f t="shared" si="121"/>
        <v>-</v>
      </c>
      <c r="AI163" s="206" t="str">
        <f t="shared" si="124"/>
        <v>-</v>
      </c>
      <c r="AJ163" s="206" t="str">
        <f t="shared" si="124"/>
        <v>-</v>
      </c>
      <c r="AK163" s="189" t="str">
        <f t="shared" si="124"/>
        <v>-</v>
      </c>
      <c r="AL163" s="189" t="str">
        <f t="shared" si="124"/>
        <v>-</v>
      </c>
      <c r="AM163" s="219" t="str">
        <f t="shared" si="122"/>
        <v>-</v>
      </c>
      <c r="AN163" s="214" t="str">
        <f t="shared" si="122"/>
        <v>-</v>
      </c>
      <c r="AO163" s="214" t="str">
        <f t="shared" si="122"/>
        <v>-</v>
      </c>
      <c r="AP163" s="214" t="str">
        <f t="shared" si="122"/>
        <v>-</v>
      </c>
      <c r="AQ163"/>
      <c r="AR163"/>
      <c r="AS163"/>
      <c r="AT163"/>
      <c r="AU163"/>
      <c r="AV163"/>
      <c r="AW163"/>
      <c r="AX163"/>
      <c r="AY163"/>
      <c r="AZ163"/>
      <c r="BA163"/>
      <c r="BB163"/>
      <c r="BC163"/>
    </row>
    <row r="164" spans="1:55" ht="15" customHeight="1" x14ac:dyDescent="0.25">
      <c r="A164" s="15">
        <v>749</v>
      </c>
      <c r="B164" s="56" t="s">
        <v>153</v>
      </c>
      <c r="C164" s="285">
        <v>3</v>
      </c>
      <c r="D164" s="286" t="s">
        <v>684</v>
      </c>
      <c r="E164" s="287" t="s">
        <v>684</v>
      </c>
      <c r="F164" s="287" t="s">
        <v>484</v>
      </c>
      <c r="G164" s="133" t="str">
        <f t="shared" si="112"/>
        <v>--</v>
      </c>
      <c r="H164" s="276" t="s">
        <v>684</v>
      </c>
      <c r="I164" s="275" t="s">
        <v>684</v>
      </c>
      <c r="J164" s="287" t="s">
        <v>484</v>
      </c>
      <c r="K164" s="133" t="str">
        <f t="shared" si="113"/>
        <v>--</v>
      </c>
      <c r="N164" s="164" t="s">
        <v>153</v>
      </c>
      <c r="O164" s="288">
        <v>3</v>
      </c>
      <c r="P164" s="289" t="s">
        <v>684</v>
      </c>
      <c r="Q164" s="290" t="s">
        <v>684</v>
      </c>
      <c r="R164" s="290" t="s">
        <v>484</v>
      </c>
      <c r="S164" s="181" t="s">
        <v>484</v>
      </c>
      <c r="T164" s="291" t="s">
        <v>684</v>
      </c>
      <c r="U164" s="277" t="s">
        <v>684</v>
      </c>
      <c r="V164" s="290" t="s">
        <v>484</v>
      </c>
      <c r="W164" s="182" t="s">
        <v>484</v>
      </c>
      <c r="Z164" s="292" t="s">
        <v>153</v>
      </c>
      <c r="AA164" s="189" t="str">
        <f t="shared" si="114"/>
        <v>-</v>
      </c>
      <c r="AB164" s="189" t="str">
        <f t="shared" si="115"/>
        <v>-</v>
      </c>
      <c r="AC164" s="189" t="str">
        <f t="shared" si="116"/>
        <v>-</v>
      </c>
      <c r="AD164" s="189" t="str">
        <f t="shared" si="117"/>
        <v>-</v>
      </c>
      <c r="AE164" s="189" t="str">
        <f t="shared" si="118"/>
        <v>-</v>
      </c>
      <c r="AF164" s="189" t="str">
        <f t="shared" si="119"/>
        <v>-</v>
      </c>
      <c r="AG164" s="189" t="str">
        <f t="shared" si="120"/>
        <v>-</v>
      </c>
      <c r="AH164" s="189" t="str">
        <f t="shared" si="121"/>
        <v>-</v>
      </c>
      <c r="AI164" s="206" t="str">
        <f t="shared" si="124"/>
        <v>-</v>
      </c>
      <c r="AJ164" s="206" t="str">
        <f t="shared" si="124"/>
        <v>-</v>
      </c>
      <c r="AK164" s="189" t="str">
        <f t="shared" si="124"/>
        <v>-</v>
      </c>
      <c r="AL164" s="189" t="str">
        <f t="shared" si="124"/>
        <v>-</v>
      </c>
      <c r="AM164" s="219" t="str">
        <f t="shared" si="122"/>
        <v>-</v>
      </c>
      <c r="AN164" s="214" t="str">
        <f t="shared" si="122"/>
        <v>-</v>
      </c>
      <c r="AO164" s="214" t="str">
        <f t="shared" si="122"/>
        <v>-</v>
      </c>
      <c r="AP164" s="214" t="str">
        <f t="shared" si="122"/>
        <v>-</v>
      </c>
    </row>
    <row r="165" spans="1:55" ht="15" customHeight="1" x14ac:dyDescent="0.25">
      <c r="A165" s="15">
        <v>753</v>
      </c>
      <c r="B165" s="56" t="s">
        <v>154</v>
      </c>
      <c r="C165" s="285">
        <v>4</v>
      </c>
      <c r="D165" s="286" t="s">
        <v>684</v>
      </c>
      <c r="E165" s="287" t="s">
        <v>684</v>
      </c>
      <c r="F165" s="287" t="s">
        <v>484</v>
      </c>
      <c r="G165" s="133" t="str">
        <f t="shared" si="112"/>
        <v>--</v>
      </c>
      <c r="H165" s="276" t="s">
        <v>684</v>
      </c>
      <c r="I165" s="275" t="s">
        <v>684</v>
      </c>
      <c r="J165" s="287" t="s">
        <v>484</v>
      </c>
      <c r="K165" s="133" t="str">
        <f t="shared" si="113"/>
        <v>--</v>
      </c>
      <c r="N165" s="164" t="s">
        <v>154</v>
      </c>
      <c r="O165" s="288">
        <v>4</v>
      </c>
      <c r="P165" s="289" t="s">
        <v>684</v>
      </c>
      <c r="Q165" s="290" t="s">
        <v>684</v>
      </c>
      <c r="R165" s="290" t="s">
        <v>484</v>
      </c>
      <c r="S165" s="181" t="s">
        <v>484</v>
      </c>
      <c r="T165" s="291" t="s">
        <v>684</v>
      </c>
      <c r="U165" s="277" t="s">
        <v>684</v>
      </c>
      <c r="V165" s="290" t="s">
        <v>484</v>
      </c>
      <c r="W165" s="182" t="s">
        <v>484</v>
      </c>
      <c r="Z165" s="292" t="s">
        <v>154</v>
      </c>
      <c r="AA165" s="189" t="str">
        <f t="shared" si="114"/>
        <v>-</v>
      </c>
      <c r="AB165" s="189" t="str">
        <f t="shared" si="115"/>
        <v>-</v>
      </c>
      <c r="AC165" s="189" t="str">
        <f t="shared" si="116"/>
        <v>-</v>
      </c>
      <c r="AD165" s="189" t="str">
        <f t="shared" si="117"/>
        <v>-</v>
      </c>
      <c r="AE165" s="189" t="str">
        <f t="shared" si="118"/>
        <v>-</v>
      </c>
      <c r="AF165" s="189" t="str">
        <f t="shared" si="119"/>
        <v>-</v>
      </c>
      <c r="AG165" s="189" t="str">
        <f t="shared" si="120"/>
        <v>-</v>
      </c>
      <c r="AH165" s="189" t="str">
        <f t="shared" si="121"/>
        <v>-</v>
      </c>
      <c r="AI165" s="206" t="str">
        <f t="shared" si="124"/>
        <v>-</v>
      </c>
      <c r="AJ165" s="206" t="str">
        <f t="shared" si="124"/>
        <v>-</v>
      </c>
      <c r="AK165" s="189" t="str">
        <f t="shared" si="124"/>
        <v>-</v>
      </c>
      <c r="AL165" s="189" t="str">
        <f t="shared" si="124"/>
        <v>-</v>
      </c>
      <c r="AM165" s="219" t="str">
        <f t="shared" si="122"/>
        <v>-</v>
      </c>
      <c r="AN165" s="214" t="str">
        <f t="shared" si="122"/>
        <v>-</v>
      </c>
      <c r="AO165" s="214" t="str">
        <f t="shared" si="122"/>
        <v>-</v>
      </c>
      <c r="AP165" s="214" t="str">
        <f t="shared" si="122"/>
        <v>-</v>
      </c>
    </row>
    <row r="166" spans="1:55" ht="15.75" x14ac:dyDescent="0.25">
      <c r="A166" s="15">
        <v>754</v>
      </c>
      <c r="B166" s="56" t="s">
        <v>155</v>
      </c>
      <c r="C166" s="285">
        <v>11</v>
      </c>
      <c r="D166" s="286">
        <v>75304.918131678729</v>
      </c>
      <c r="E166" s="287">
        <v>73380</v>
      </c>
      <c r="F166" s="287">
        <v>-1924.918131678729</v>
      </c>
      <c r="G166" s="133">
        <f t="shared" si="112"/>
        <v>-2.6232190401727022E-2</v>
      </c>
      <c r="H166" s="276">
        <v>97959.152709709801</v>
      </c>
      <c r="I166" s="275">
        <v>95414.395920800001</v>
      </c>
      <c r="J166" s="287">
        <v>-2544.7567889097991</v>
      </c>
      <c r="K166" s="133">
        <f t="shared" si="113"/>
        <v>-2.6670574857719672E-2</v>
      </c>
      <c r="N166" s="164" t="s">
        <v>155</v>
      </c>
      <c r="O166" s="288">
        <v>6</v>
      </c>
      <c r="P166" s="289">
        <v>66841.212525667346</v>
      </c>
      <c r="Q166" s="290">
        <v>63432</v>
      </c>
      <c r="R166" s="290">
        <v>-3409.2125256673462</v>
      </c>
      <c r="S166" s="181">
        <v>-5.3745940939389364E-2</v>
      </c>
      <c r="T166" s="291">
        <v>88204.602035162243</v>
      </c>
      <c r="U166" s="277">
        <v>82826.318864960005</v>
      </c>
      <c r="V166" s="290">
        <v>-5378.2831702022377</v>
      </c>
      <c r="W166" s="182">
        <v>-6.4934470635728575E-2</v>
      </c>
      <c r="Z166" s="292" t="s">
        <v>155</v>
      </c>
      <c r="AA166" s="189">
        <f t="shared" si="114"/>
        <v>75304.918131678729</v>
      </c>
      <c r="AB166" s="189">
        <f t="shared" si="115"/>
        <v>73380</v>
      </c>
      <c r="AC166" s="189">
        <f t="shared" si="116"/>
        <v>97959.152709709801</v>
      </c>
      <c r="AD166" s="189">
        <f t="shared" si="117"/>
        <v>95414.395920800001</v>
      </c>
      <c r="AE166" s="189">
        <f t="shared" si="118"/>
        <v>66841.212525667346</v>
      </c>
      <c r="AF166" s="189">
        <f t="shared" si="119"/>
        <v>63432</v>
      </c>
      <c r="AG166" s="189">
        <f t="shared" si="120"/>
        <v>88204.602035162243</v>
      </c>
      <c r="AH166" s="189">
        <f t="shared" si="121"/>
        <v>82826.318864960005</v>
      </c>
      <c r="AI166" s="206">
        <f t="shared" si="124"/>
        <v>8463.7056060113828</v>
      </c>
      <c r="AJ166" s="206">
        <f t="shared" si="124"/>
        <v>9948</v>
      </c>
      <c r="AK166" s="189">
        <f t="shared" si="124"/>
        <v>9754.5506745475577</v>
      </c>
      <c r="AL166" s="189">
        <f t="shared" si="124"/>
        <v>12588.077055839996</v>
      </c>
      <c r="AM166" s="219">
        <f t="shared" si="122"/>
        <v>0.12662405851421799</v>
      </c>
      <c r="AN166" s="214">
        <f t="shared" si="122"/>
        <v>0.15682936057510405</v>
      </c>
      <c r="AO166" s="214">
        <f t="shared" si="122"/>
        <v>0.11059004235015951</v>
      </c>
      <c r="AP166" s="214">
        <f t="shared" si="122"/>
        <v>0.15198160715513134</v>
      </c>
    </row>
    <row r="167" spans="1:55" ht="15" customHeight="1" x14ac:dyDescent="0.25">
      <c r="A167" s="15">
        <v>755</v>
      </c>
      <c r="B167" s="56" t="s">
        <v>156</v>
      </c>
      <c r="C167" s="285">
        <v>3</v>
      </c>
      <c r="D167" s="286" t="s">
        <v>684</v>
      </c>
      <c r="E167" s="287" t="s">
        <v>684</v>
      </c>
      <c r="F167" s="287" t="s">
        <v>484</v>
      </c>
      <c r="G167" s="133" t="str">
        <f t="shared" si="112"/>
        <v>--</v>
      </c>
      <c r="H167" s="276" t="s">
        <v>684</v>
      </c>
      <c r="I167" s="275" t="s">
        <v>684</v>
      </c>
      <c r="J167" s="287" t="s">
        <v>484</v>
      </c>
      <c r="K167" s="133" t="str">
        <f t="shared" si="113"/>
        <v>--</v>
      </c>
      <c r="N167" s="164" t="s">
        <v>156</v>
      </c>
      <c r="O167" s="288">
        <v>3</v>
      </c>
      <c r="P167" s="289" t="s">
        <v>684</v>
      </c>
      <c r="Q167" s="290" t="s">
        <v>684</v>
      </c>
      <c r="R167" s="290" t="s">
        <v>484</v>
      </c>
      <c r="S167" s="181" t="s">
        <v>484</v>
      </c>
      <c r="T167" s="291" t="s">
        <v>684</v>
      </c>
      <c r="U167" s="277" t="s">
        <v>684</v>
      </c>
      <c r="V167" s="290" t="s">
        <v>484</v>
      </c>
      <c r="W167" s="182" t="s">
        <v>484</v>
      </c>
      <c r="Z167" s="292" t="s">
        <v>156</v>
      </c>
      <c r="AA167" s="189" t="str">
        <f t="shared" si="114"/>
        <v>-</v>
      </c>
      <c r="AB167" s="189" t="str">
        <f t="shared" si="115"/>
        <v>-</v>
      </c>
      <c r="AC167" s="189" t="str">
        <f t="shared" si="116"/>
        <v>-</v>
      </c>
      <c r="AD167" s="189" t="str">
        <f t="shared" si="117"/>
        <v>-</v>
      </c>
      <c r="AE167" s="189" t="str">
        <f t="shared" si="118"/>
        <v>-</v>
      </c>
      <c r="AF167" s="189" t="str">
        <f t="shared" si="119"/>
        <v>-</v>
      </c>
      <c r="AG167" s="189" t="str">
        <f t="shared" si="120"/>
        <v>-</v>
      </c>
      <c r="AH167" s="189" t="str">
        <f t="shared" si="121"/>
        <v>-</v>
      </c>
      <c r="AI167" s="206" t="str">
        <f t="shared" si="124"/>
        <v>-</v>
      </c>
      <c r="AJ167" s="206" t="str">
        <f t="shared" si="124"/>
        <v>-</v>
      </c>
      <c r="AK167" s="189" t="str">
        <f t="shared" si="124"/>
        <v>-</v>
      </c>
      <c r="AL167" s="189" t="str">
        <f t="shared" si="124"/>
        <v>-</v>
      </c>
      <c r="AM167" s="219" t="str">
        <f t="shared" si="122"/>
        <v>-</v>
      </c>
      <c r="AN167" s="214" t="str">
        <f t="shared" si="122"/>
        <v>-</v>
      </c>
      <c r="AO167" s="214" t="str">
        <f t="shared" si="122"/>
        <v>-</v>
      </c>
      <c r="AP167" s="214" t="str">
        <f t="shared" si="122"/>
        <v>-</v>
      </c>
    </row>
    <row r="168" spans="1:55" ht="15" customHeight="1" x14ac:dyDescent="0.25">
      <c r="B168" s="62" t="s">
        <v>477</v>
      </c>
      <c r="C168" s="63"/>
      <c r="D168" s="124">
        <v>94140.919601103014</v>
      </c>
      <c r="E168" s="124">
        <v>80013.428571428565</v>
      </c>
      <c r="F168" s="124">
        <v>-14127.491029674449</v>
      </c>
      <c r="G168" s="125">
        <f t="shared" si="112"/>
        <v>-0.17656400034230174</v>
      </c>
      <c r="H168" s="126">
        <v>116163.15314455031</v>
      </c>
      <c r="I168" s="127">
        <v>102888.02224986284</v>
      </c>
      <c r="J168" s="124">
        <v>-13275.130894687463</v>
      </c>
      <c r="K168" s="125">
        <f t="shared" si="113"/>
        <v>-0.12902503716563724</v>
      </c>
      <c r="N168" s="183" t="s">
        <v>477</v>
      </c>
      <c r="O168" s="184"/>
      <c r="P168" s="185">
        <v>85375.790541908238</v>
      </c>
      <c r="Q168" s="185">
        <v>72113.657142857148</v>
      </c>
      <c r="R168" s="185">
        <v>-13262.13339905109</v>
      </c>
      <c r="S168" s="186">
        <v>-0.18390598847010081</v>
      </c>
      <c r="T168" s="201">
        <v>104938.18266189091</v>
      </c>
      <c r="U168" s="187">
        <v>92643.730189423994</v>
      </c>
      <c r="V168" s="185">
        <v>-12294.452472466917</v>
      </c>
      <c r="W168" s="188">
        <v>-0.13270679459180956</v>
      </c>
      <c r="Z168" s="209" t="s">
        <v>477</v>
      </c>
      <c r="AA168" s="204">
        <f t="shared" ref="AA168:AH168" si="125">AVERAGE(AA121:AA167)</f>
        <v>94140.919601103014</v>
      </c>
      <c r="AB168" s="204">
        <f t="shared" si="125"/>
        <v>80013.428571428565</v>
      </c>
      <c r="AC168" s="204">
        <f t="shared" si="125"/>
        <v>116163.15314455031</v>
      </c>
      <c r="AD168" s="204">
        <f t="shared" si="125"/>
        <v>102888.02224986284</v>
      </c>
      <c r="AE168" s="204">
        <f t="shared" si="125"/>
        <v>85375.790541908238</v>
      </c>
      <c r="AF168" s="204">
        <f t="shared" si="125"/>
        <v>72113.657142857148</v>
      </c>
      <c r="AG168" s="204">
        <f t="shared" si="125"/>
        <v>104938.18266189091</v>
      </c>
      <c r="AH168" s="204">
        <f t="shared" si="125"/>
        <v>92643.730189423994</v>
      </c>
      <c r="AI168" s="210">
        <f t="shared" si="124"/>
        <v>8765.1290591947763</v>
      </c>
      <c r="AJ168" s="210">
        <f t="shared" si="124"/>
        <v>7899.7714285714173</v>
      </c>
      <c r="AK168" s="204">
        <f t="shared" si="124"/>
        <v>11224.970482659395</v>
      </c>
      <c r="AL168" s="204">
        <f t="shared" si="124"/>
        <v>10244.292060438849</v>
      </c>
      <c r="AM168" s="220">
        <f t="shared" ref="AM168:AP168" si="126">AI168/AE168</f>
        <v>0.102665275525528</v>
      </c>
      <c r="AN168" s="215">
        <f t="shared" si="126"/>
        <v>0.1095461212419441</v>
      </c>
      <c r="AO168" s="215">
        <f t="shared" si="126"/>
        <v>0.10696745643886424</v>
      </c>
      <c r="AP168" s="215">
        <f t="shared" si="126"/>
        <v>0.1105772839618273</v>
      </c>
    </row>
    <row r="169" spans="1:55" ht="15" customHeight="1" x14ac:dyDescent="0.25">
      <c r="AI169" s="158"/>
      <c r="AJ169" s="158"/>
      <c r="AK169" s="159"/>
      <c r="AL169" s="159"/>
    </row>
    <row r="170" spans="1:55" ht="15" customHeight="1" x14ac:dyDescent="0.25">
      <c r="AI170" s="158"/>
      <c r="AJ170" s="158"/>
      <c r="AK170" s="159"/>
      <c r="AL170" s="159"/>
      <c r="AM170" s="159"/>
      <c r="AN170" s="159"/>
      <c r="AO170" s="159"/>
      <c r="AP170" s="159"/>
    </row>
    <row r="171" spans="1:55" ht="15" customHeight="1" x14ac:dyDescent="0.25">
      <c r="AA171" s="528"/>
      <c r="AB171" s="47"/>
      <c r="AC171" s="47"/>
      <c r="AD171" s="47"/>
      <c r="AE171" s="47"/>
      <c r="AF171" s="47"/>
      <c r="AG171" s="47"/>
      <c r="AH171" s="47"/>
      <c r="AI171" s="156" t="s">
        <v>926</v>
      </c>
      <c r="AJ171" s="158"/>
      <c r="AK171" s="159"/>
      <c r="AL171" s="159"/>
      <c r="AM171" s="156" t="s">
        <v>927</v>
      </c>
      <c r="AN171" s="157"/>
      <c r="AO171" s="157"/>
      <c r="AP171" s="157"/>
    </row>
    <row r="172" spans="1:55" ht="15" customHeight="1" x14ac:dyDescent="0.25">
      <c r="B172" s="110" t="s">
        <v>682</v>
      </c>
      <c r="C172" s="302" t="s">
        <v>765</v>
      </c>
      <c r="D172" s="303"/>
      <c r="E172" s="303"/>
      <c r="F172" s="304"/>
      <c r="G172" s="303"/>
      <c r="H172" s="303" t="s">
        <v>435</v>
      </c>
      <c r="I172" s="303"/>
      <c r="J172" s="303"/>
      <c r="K172" s="305"/>
      <c r="N172" s="293"/>
      <c r="O172" s="297" t="s">
        <v>693</v>
      </c>
      <c r="P172" s="296"/>
      <c r="Q172" s="296"/>
      <c r="R172" s="296"/>
      <c r="S172" s="296"/>
      <c r="T172" s="296" t="s">
        <v>700</v>
      </c>
      <c r="U172" s="296"/>
      <c r="V172" s="296"/>
      <c r="W172" s="296"/>
      <c r="Z172" s="293" t="s">
        <v>682</v>
      </c>
      <c r="AA172" s="156" t="s">
        <v>691</v>
      </c>
      <c r="AB172" s="526"/>
      <c r="AC172" s="526"/>
      <c r="AD172" s="526"/>
      <c r="AE172" s="526"/>
      <c r="AF172" s="526"/>
      <c r="AG172" s="526"/>
      <c r="AH172" s="526"/>
      <c r="AI172" s="526" t="s">
        <v>693</v>
      </c>
      <c r="AJ172" s="526"/>
      <c r="AK172" s="526" t="s">
        <v>700</v>
      </c>
      <c r="AL172" s="526"/>
      <c r="AM172" s="526" t="s">
        <v>693</v>
      </c>
      <c r="AN172" s="526"/>
      <c r="AO172" s="526" t="s">
        <v>700</v>
      </c>
      <c r="AP172" s="526"/>
    </row>
    <row r="173" spans="1:55" ht="15" customHeight="1" x14ac:dyDescent="0.25">
      <c r="B173" s="111" t="s">
        <v>679</v>
      </c>
      <c r="C173" s="113" t="s">
        <v>935</v>
      </c>
      <c r="D173" s="112" t="s">
        <v>733</v>
      </c>
      <c r="E173" s="130" t="s">
        <v>934</v>
      </c>
      <c r="F173" s="130" t="s">
        <v>936</v>
      </c>
      <c r="G173" s="130" t="s">
        <v>734</v>
      </c>
      <c r="H173" s="131" t="s">
        <v>733</v>
      </c>
      <c r="I173" s="130" t="s">
        <v>934</v>
      </c>
      <c r="J173" s="130" t="s">
        <v>936</v>
      </c>
      <c r="K173" s="132" t="s">
        <v>735</v>
      </c>
      <c r="N173" s="160" t="s">
        <v>679</v>
      </c>
      <c r="O173" s="161" t="s">
        <v>697</v>
      </c>
      <c r="P173" s="161" t="s">
        <v>733</v>
      </c>
      <c r="Q173" s="162" t="s">
        <v>698</v>
      </c>
      <c r="R173" s="162" t="s">
        <v>699</v>
      </c>
      <c r="S173" s="162" t="s">
        <v>734</v>
      </c>
      <c r="T173" s="200" t="s">
        <v>733</v>
      </c>
      <c r="U173" s="162" t="s">
        <v>698</v>
      </c>
      <c r="V173" s="162" t="s">
        <v>699</v>
      </c>
      <c r="W173" s="163" t="s">
        <v>735</v>
      </c>
      <c r="Z173" s="205" t="s">
        <v>679</v>
      </c>
      <c r="AA173" s="271" t="s">
        <v>922</v>
      </c>
      <c r="AB173" s="271" t="s">
        <v>923</v>
      </c>
      <c r="AC173" s="271" t="s">
        <v>924</v>
      </c>
      <c r="AD173" s="271" t="s">
        <v>925</v>
      </c>
      <c r="AE173" s="272" t="s">
        <v>928</v>
      </c>
      <c r="AF173" s="272" t="s">
        <v>929</v>
      </c>
      <c r="AG173" s="272" t="s">
        <v>930</v>
      </c>
      <c r="AH173" s="272" t="s">
        <v>931</v>
      </c>
      <c r="AI173" s="273" t="s">
        <v>687</v>
      </c>
      <c r="AJ173" s="273" t="s">
        <v>688</v>
      </c>
      <c r="AK173" s="273" t="s">
        <v>689</v>
      </c>
      <c r="AL173" s="273" t="s">
        <v>690</v>
      </c>
      <c r="AM173" s="218" t="s">
        <v>687</v>
      </c>
      <c r="AN173" s="273" t="s">
        <v>688</v>
      </c>
      <c r="AO173" s="273" t="s">
        <v>689</v>
      </c>
      <c r="AP173" s="273" t="s">
        <v>690</v>
      </c>
    </row>
    <row r="174" spans="1:55" ht="15" customHeight="1" x14ac:dyDescent="0.25">
      <c r="A174" s="15">
        <v>800</v>
      </c>
      <c r="B174" s="56" t="s">
        <v>157</v>
      </c>
      <c r="C174" s="285">
        <v>11</v>
      </c>
      <c r="D174" s="286">
        <v>46030.559999999998</v>
      </c>
      <c r="E174" s="287">
        <v>45012</v>
      </c>
      <c r="F174" s="287">
        <v>-1018.5599999999977</v>
      </c>
      <c r="G174" s="133">
        <f t="shared" ref="G174:G177" si="127">IFERROR(F174/E174,"--")</f>
        <v>-2.2628632364702694E-2</v>
      </c>
      <c r="H174" s="276">
        <v>61066.720000000001</v>
      </c>
      <c r="I174" s="275">
        <v>63453.27213392</v>
      </c>
      <c r="J174" s="287">
        <v>2386.5521339199986</v>
      </c>
      <c r="K174" s="133">
        <f t="shared" ref="K174:K177" si="128">IFERROR(J174/I174,"--")</f>
        <v>3.7611175179163493E-2</v>
      </c>
      <c r="N174" s="164" t="s">
        <v>157</v>
      </c>
      <c r="O174" s="288">
        <v>11</v>
      </c>
      <c r="P174" s="289">
        <v>41116.120000000003</v>
      </c>
      <c r="Q174" s="290">
        <v>38124</v>
      </c>
      <c r="R174" s="290">
        <v>-2992.1200000000026</v>
      </c>
      <c r="S174" s="181">
        <v>-7.8483894659532122E-2</v>
      </c>
      <c r="T174" s="291">
        <v>54078.200000000004</v>
      </c>
      <c r="U174" s="277">
        <v>54207.46860272</v>
      </c>
      <c r="V174" s="290">
        <v>129.26860271999612</v>
      </c>
      <c r="W174" s="182">
        <v>2.3847009656066051E-3</v>
      </c>
      <c r="Z174" s="292" t="s">
        <v>157</v>
      </c>
      <c r="AA174" s="189">
        <f t="shared" ref="AA174:AB176" si="129">IF($D174="-","-",IF($P174="-","-",D174))</f>
        <v>46030.559999999998</v>
      </c>
      <c r="AB174" s="189">
        <f t="shared" si="129"/>
        <v>45012</v>
      </c>
      <c r="AC174" s="189">
        <f t="shared" ref="AC174:AD176" si="130">IF($D174="-","-",IF($P174="-","-",H174))</f>
        <v>61066.720000000001</v>
      </c>
      <c r="AD174" s="189">
        <f t="shared" si="130"/>
        <v>63453.27213392</v>
      </c>
      <c r="AE174" s="189">
        <f t="shared" ref="AE174:AF176" si="131">IF($D174="-","-",IF($P174="-","-",P174))</f>
        <v>41116.120000000003</v>
      </c>
      <c r="AF174" s="189">
        <f t="shared" si="131"/>
        <v>38124</v>
      </c>
      <c r="AG174" s="189">
        <f t="shared" ref="AG174:AH176" si="132">IF($D174="-","-",IF($P174="-","-",T174))</f>
        <v>54078.200000000004</v>
      </c>
      <c r="AH174" s="189">
        <f t="shared" si="132"/>
        <v>54207.46860272</v>
      </c>
      <c r="AI174" s="206">
        <f t="shared" ref="AI174:AL177" si="133">IFERROR(AA174-AE174,"-")</f>
        <v>4914.4399999999951</v>
      </c>
      <c r="AJ174" s="206">
        <f t="shared" si="133"/>
        <v>6888</v>
      </c>
      <c r="AK174" s="189">
        <f t="shared" si="133"/>
        <v>6988.5199999999968</v>
      </c>
      <c r="AL174" s="189">
        <f t="shared" si="133"/>
        <v>9245.8035311999993</v>
      </c>
      <c r="AM174" s="219">
        <f t="shared" ref="AM174:AP176" si="134">IFERROR(AI174/AE174,"-")</f>
        <v>0.11952586965890738</v>
      </c>
      <c r="AN174" s="214">
        <f t="shared" si="134"/>
        <v>0.18067359143846395</v>
      </c>
      <c r="AO174" s="214">
        <f t="shared" si="134"/>
        <v>0.1292298930067938</v>
      </c>
      <c r="AP174" s="214">
        <f t="shared" si="134"/>
        <v>0.17056327789370462</v>
      </c>
    </row>
    <row r="175" spans="1:55" ht="15" customHeight="1" x14ac:dyDescent="0.25">
      <c r="A175" s="15">
        <v>801</v>
      </c>
      <c r="B175" s="56" t="s">
        <v>158</v>
      </c>
      <c r="C175" s="285">
        <v>20</v>
      </c>
      <c r="D175" s="286">
        <v>74340.347278030633</v>
      </c>
      <c r="E175" s="287">
        <v>57306</v>
      </c>
      <c r="F175" s="287">
        <v>-17034.347278030633</v>
      </c>
      <c r="G175" s="133">
        <f t="shared" si="127"/>
        <v>-0.29725242170157806</v>
      </c>
      <c r="H175" s="276">
        <v>95198.424255055201</v>
      </c>
      <c r="I175" s="275">
        <v>77304.444434959994</v>
      </c>
      <c r="J175" s="287">
        <v>-17893.979820095206</v>
      </c>
      <c r="K175" s="133">
        <f t="shared" si="128"/>
        <v>-0.23147414034066677</v>
      </c>
      <c r="N175" s="164" t="s">
        <v>158</v>
      </c>
      <c r="O175" s="288">
        <v>18</v>
      </c>
      <c r="P175" s="289">
        <v>62734.500408620668</v>
      </c>
      <c r="Q175" s="290">
        <v>48438</v>
      </c>
      <c r="R175" s="290">
        <v>-14296.500408620668</v>
      </c>
      <c r="S175" s="181">
        <v>-0.29515051010819332</v>
      </c>
      <c r="T175" s="291">
        <v>81014.242576921039</v>
      </c>
      <c r="U175" s="277">
        <v>65870.769598640007</v>
      </c>
      <c r="V175" s="290">
        <v>-15143.472978281032</v>
      </c>
      <c r="W175" s="182">
        <v>-0.22989670639271975</v>
      </c>
      <c r="Z175" s="292" t="s">
        <v>158</v>
      </c>
      <c r="AA175" s="189">
        <f t="shared" si="129"/>
        <v>74340.347278030633</v>
      </c>
      <c r="AB175" s="189">
        <f t="shared" si="129"/>
        <v>57306</v>
      </c>
      <c r="AC175" s="189">
        <f t="shared" si="130"/>
        <v>95198.424255055201</v>
      </c>
      <c r="AD175" s="189">
        <f t="shared" si="130"/>
        <v>77304.444434959994</v>
      </c>
      <c r="AE175" s="189">
        <f t="shared" si="131"/>
        <v>62734.500408620668</v>
      </c>
      <c r="AF175" s="189">
        <f t="shared" si="131"/>
        <v>48438</v>
      </c>
      <c r="AG175" s="189">
        <f t="shared" si="132"/>
        <v>81014.242576921039</v>
      </c>
      <c r="AH175" s="189">
        <f t="shared" si="132"/>
        <v>65870.769598640007</v>
      </c>
      <c r="AI175" s="206">
        <f t="shared" si="133"/>
        <v>11605.846869409965</v>
      </c>
      <c r="AJ175" s="206">
        <f t="shared" si="133"/>
        <v>8868</v>
      </c>
      <c r="AK175" s="189">
        <f t="shared" si="133"/>
        <v>14184.181678134162</v>
      </c>
      <c r="AL175" s="189">
        <f t="shared" si="133"/>
        <v>11433.674836319988</v>
      </c>
      <c r="AM175" s="219">
        <f t="shared" si="134"/>
        <v>0.18499943083654724</v>
      </c>
      <c r="AN175" s="214">
        <f t="shared" si="134"/>
        <v>0.18307940047070481</v>
      </c>
      <c r="AO175" s="214">
        <f t="shared" si="134"/>
        <v>0.17508256853313944</v>
      </c>
      <c r="AP175" s="214">
        <f t="shared" si="134"/>
        <v>0.17357736832265661</v>
      </c>
    </row>
    <row r="176" spans="1:55" ht="15" customHeight="1" x14ac:dyDescent="0.25">
      <c r="A176" s="15">
        <v>802</v>
      </c>
      <c r="B176" s="56" t="s">
        <v>159</v>
      </c>
      <c r="C176" s="285">
        <v>5</v>
      </c>
      <c r="D176" s="286">
        <v>36747.006659898587</v>
      </c>
      <c r="E176" s="287">
        <v>39030</v>
      </c>
      <c r="F176" s="287">
        <v>2282.9933401014132</v>
      </c>
      <c r="G176" s="133">
        <f t="shared" si="127"/>
        <v>5.8493295928808947E-2</v>
      </c>
      <c r="H176" s="276">
        <v>50956.88692629453</v>
      </c>
      <c r="I176" s="275">
        <v>56713.585074800001</v>
      </c>
      <c r="J176" s="287">
        <v>5756.6981485054712</v>
      </c>
      <c r="K176" s="133">
        <f t="shared" si="128"/>
        <v>0.10150474777626764</v>
      </c>
      <c r="N176" s="164" t="s">
        <v>159</v>
      </c>
      <c r="O176" s="288">
        <v>5</v>
      </c>
      <c r="P176" s="289">
        <v>34005</v>
      </c>
      <c r="Q176" s="290">
        <v>34818</v>
      </c>
      <c r="R176" s="290">
        <v>813</v>
      </c>
      <c r="S176" s="181">
        <v>2.3349991383767019E-2</v>
      </c>
      <c r="T176" s="291">
        <v>46461.2</v>
      </c>
      <c r="U176" s="277">
        <v>50468.970145040003</v>
      </c>
      <c r="V176" s="290">
        <v>4007.7701450400054</v>
      </c>
      <c r="W176" s="182">
        <v>7.9410579084976271E-2</v>
      </c>
      <c r="Z176" s="292" t="s">
        <v>159</v>
      </c>
      <c r="AA176" s="189">
        <f t="shared" si="129"/>
        <v>36747.006659898587</v>
      </c>
      <c r="AB176" s="189">
        <f t="shared" si="129"/>
        <v>39030</v>
      </c>
      <c r="AC176" s="189">
        <f t="shared" si="130"/>
        <v>50956.88692629453</v>
      </c>
      <c r="AD176" s="189">
        <f t="shared" si="130"/>
        <v>56713.585074800001</v>
      </c>
      <c r="AE176" s="189">
        <f t="shared" si="131"/>
        <v>34005</v>
      </c>
      <c r="AF176" s="189">
        <f t="shared" si="131"/>
        <v>34818</v>
      </c>
      <c r="AG176" s="189">
        <f t="shared" si="132"/>
        <v>46461.2</v>
      </c>
      <c r="AH176" s="189">
        <f t="shared" si="132"/>
        <v>50468.970145040003</v>
      </c>
      <c r="AI176" s="206">
        <f t="shared" si="133"/>
        <v>2742.0066598985868</v>
      </c>
      <c r="AJ176" s="206">
        <f t="shared" si="133"/>
        <v>4212</v>
      </c>
      <c r="AK176" s="189">
        <f t="shared" si="133"/>
        <v>4495.6869262945329</v>
      </c>
      <c r="AL176" s="189">
        <f t="shared" si="133"/>
        <v>6244.6149297599986</v>
      </c>
      <c r="AM176" s="219">
        <f t="shared" si="134"/>
        <v>8.0635396556347202E-2</v>
      </c>
      <c r="AN176" s="214">
        <f t="shared" si="134"/>
        <v>0.12097191108047561</v>
      </c>
      <c r="AO176" s="214">
        <f t="shared" si="134"/>
        <v>9.6762178469228799E-2</v>
      </c>
      <c r="AP176" s="214">
        <f t="shared" si="134"/>
        <v>0.12373176848693251</v>
      </c>
    </row>
    <row r="177" spans="1:55" ht="15" customHeight="1" x14ac:dyDescent="0.25">
      <c r="A177" s="14"/>
      <c r="B177" s="62" t="s">
        <v>680</v>
      </c>
      <c r="C177" s="63"/>
      <c r="D177" s="124">
        <v>52372.637979309737</v>
      </c>
      <c r="E177" s="124">
        <v>47116</v>
      </c>
      <c r="F177" s="124">
        <v>-5256.6379793097367</v>
      </c>
      <c r="G177" s="125">
        <f t="shared" si="127"/>
        <v>-0.11156800193797727</v>
      </c>
      <c r="H177" s="126">
        <v>69074.010393783246</v>
      </c>
      <c r="I177" s="127">
        <v>65823.767214559994</v>
      </c>
      <c r="J177" s="124">
        <v>-3250.2431792232528</v>
      </c>
      <c r="K177" s="125">
        <f t="shared" si="128"/>
        <v>-4.9377957488041038E-2</v>
      </c>
      <c r="N177" s="183" t="s">
        <v>680</v>
      </c>
      <c r="O177" s="184"/>
      <c r="P177" s="185">
        <v>45951.873469540231</v>
      </c>
      <c r="Q177" s="185">
        <v>40460</v>
      </c>
      <c r="R177" s="185">
        <v>-5491.8734695402309</v>
      </c>
      <c r="S177" s="186">
        <v>-0.13573587418537397</v>
      </c>
      <c r="T177" s="201">
        <v>60517.88085897368</v>
      </c>
      <c r="U177" s="187">
        <v>56849.069448800001</v>
      </c>
      <c r="V177" s="185">
        <v>-3668.8114101736792</v>
      </c>
      <c r="W177" s="188">
        <v>-6.4535997611674584E-2</v>
      </c>
      <c r="Z177" s="209" t="s">
        <v>680</v>
      </c>
      <c r="AA177" s="212">
        <f t="shared" ref="AA177:AH177" si="135">AVERAGE(AA174:AA176)</f>
        <v>52372.637979309737</v>
      </c>
      <c r="AB177" s="212">
        <f t="shared" si="135"/>
        <v>47116</v>
      </c>
      <c r="AC177" s="212">
        <f t="shared" si="135"/>
        <v>69074.010393783246</v>
      </c>
      <c r="AD177" s="212">
        <f t="shared" si="135"/>
        <v>65823.767214559994</v>
      </c>
      <c r="AE177" s="212">
        <f t="shared" si="135"/>
        <v>45951.873469540231</v>
      </c>
      <c r="AF177" s="212">
        <f t="shared" si="135"/>
        <v>40460</v>
      </c>
      <c r="AG177" s="212">
        <f t="shared" si="135"/>
        <v>60517.88085897368</v>
      </c>
      <c r="AH177" s="212">
        <f t="shared" si="135"/>
        <v>56849.069448800001</v>
      </c>
      <c r="AI177" s="210">
        <f t="shared" si="133"/>
        <v>6420.7645097695058</v>
      </c>
      <c r="AJ177" s="210">
        <f t="shared" si="133"/>
        <v>6656</v>
      </c>
      <c r="AK177" s="204">
        <f t="shared" si="133"/>
        <v>8556.1295348095664</v>
      </c>
      <c r="AL177" s="204">
        <f t="shared" si="133"/>
        <v>8974.6977657599928</v>
      </c>
      <c r="AM177" s="220">
        <f t="shared" ref="AM177:AP177" si="136">AI177/AE177</f>
        <v>0.13972802466967074</v>
      </c>
      <c r="AN177" s="215">
        <f t="shared" si="136"/>
        <v>0.16450815620365794</v>
      </c>
      <c r="AO177" s="215">
        <f t="shared" si="136"/>
        <v>0.14138184307458035</v>
      </c>
      <c r="AP177" s="215">
        <f t="shared" si="136"/>
        <v>0.1578688596449741</v>
      </c>
      <c r="AQ177" s="14"/>
      <c r="AR177" s="14"/>
      <c r="AS177" s="14"/>
      <c r="AT177" s="14"/>
      <c r="AU177" s="14"/>
      <c r="AV177" s="14"/>
      <c r="AW177" s="14"/>
      <c r="AX177" s="14"/>
      <c r="AY177" s="14"/>
      <c r="AZ177" s="14"/>
      <c r="BA177" s="14"/>
      <c r="BB177" s="14"/>
      <c r="BC177" s="14"/>
    </row>
    <row r="178" spans="1:55" ht="15" customHeight="1" x14ac:dyDescent="0.25">
      <c r="AI178" s="158"/>
      <c r="AJ178" s="158"/>
      <c r="AK178" s="159"/>
      <c r="AL178" s="159"/>
    </row>
    <row r="179" spans="1:55" ht="15" customHeight="1" x14ac:dyDescent="0.25">
      <c r="AI179" s="158"/>
      <c r="AJ179" s="158"/>
      <c r="AK179" s="159"/>
      <c r="AL179" s="159"/>
      <c r="AM179" s="159"/>
      <c r="AN179" s="159"/>
      <c r="AO179" s="159"/>
      <c r="AP179" s="159"/>
    </row>
    <row r="180" spans="1:55" s="14" customFormat="1" ht="15" customHeight="1" x14ac:dyDescent="0.25">
      <c r="A180"/>
      <c r="B180"/>
      <c r="C180"/>
      <c r="D180" s="20"/>
      <c r="E180" s="20"/>
      <c r="F180" s="20"/>
      <c r="G180" s="20"/>
      <c r="H180" s="20"/>
      <c r="I180" s="20"/>
      <c r="J180" s="20"/>
      <c r="K180" s="20"/>
      <c r="L180"/>
      <c r="N180"/>
      <c r="O180"/>
      <c r="P180" s="20"/>
      <c r="Q180" s="20"/>
      <c r="R180" s="20"/>
      <c r="S180" s="20"/>
      <c r="T180" s="20"/>
      <c r="U180" s="20"/>
      <c r="V180" s="20"/>
      <c r="W180" s="20"/>
      <c r="Z180"/>
      <c r="AA180" s="528"/>
      <c r="AB180" s="47"/>
      <c r="AC180" s="47"/>
      <c r="AD180" s="47"/>
      <c r="AE180" s="47"/>
      <c r="AF180" s="47"/>
      <c r="AG180" s="47"/>
      <c r="AH180" s="47"/>
      <c r="AI180" s="156" t="s">
        <v>926</v>
      </c>
      <c r="AJ180" s="158"/>
      <c r="AK180" s="159"/>
      <c r="AL180" s="159"/>
      <c r="AM180" s="156" t="s">
        <v>927</v>
      </c>
      <c r="AN180" s="157"/>
      <c r="AO180" s="157"/>
      <c r="AP180" s="157"/>
      <c r="AQ180"/>
      <c r="AR180"/>
      <c r="AS180"/>
      <c r="AT180"/>
      <c r="AU180"/>
      <c r="AV180"/>
      <c r="AW180"/>
      <c r="AX180"/>
      <c r="AY180"/>
      <c r="AZ180"/>
      <c r="BA180"/>
      <c r="BB180"/>
      <c r="BC180"/>
    </row>
    <row r="181" spans="1:55" ht="15" customHeight="1" x14ac:dyDescent="0.25">
      <c r="B181" s="110" t="s">
        <v>586</v>
      </c>
      <c r="C181" s="302" t="s">
        <v>765</v>
      </c>
      <c r="D181" s="303"/>
      <c r="E181" s="303"/>
      <c r="F181" s="304"/>
      <c r="G181" s="303"/>
      <c r="H181" s="303" t="s">
        <v>435</v>
      </c>
      <c r="I181" s="303"/>
      <c r="J181" s="303"/>
      <c r="K181" s="305"/>
      <c r="N181" s="293"/>
      <c r="O181" s="297" t="s">
        <v>693</v>
      </c>
      <c r="P181" s="296"/>
      <c r="Q181" s="296"/>
      <c r="R181" s="296"/>
      <c r="S181" s="296"/>
      <c r="T181" s="296" t="s">
        <v>700</v>
      </c>
      <c r="U181" s="296"/>
      <c r="V181" s="296"/>
      <c r="W181" s="296"/>
      <c r="Z181" s="293" t="s">
        <v>586</v>
      </c>
      <c r="AA181" s="156" t="s">
        <v>691</v>
      </c>
      <c r="AB181" s="526"/>
      <c r="AC181" s="526"/>
      <c r="AD181" s="526"/>
      <c r="AE181" s="526"/>
      <c r="AF181" s="526"/>
      <c r="AG181" s="526"/>
      <c r="AH181" s="526"/>
      <c r="AI181" s="526" t="s">
        <v>693</v>
      </c>
      <c r="AJ181" s="526"/>
      <c r="AK181" s="526" t="s">
        <v>700</v>
      </c>
      <c r="AL181" s="526"/>
      <c r="AM181" s="526" t="s">
        <v>693</v>
      </c>
      <c r="AN181" s="526"/>
      <c r="AO181" s="526" t="s">
        <v>700</v>
      </c>
      <c r="AP181" s="526"/>
    </row>
    <row r="182" spans="1:55" ht="15" customHeight="1" x14ac:dyDescent="0.25">
      <c r="B182" s="111" t="s">
        <v>679</v>
      </c>
      <c r="C182" s="113" t="s">
        <v>935</v>
      </c>
      <c r="D182" s="112" t="s">
        <v>733</v>
      </c>
      <c r="E182" s="130" t="s">
        <v>934</v>
      </c>
      <c r="F182" s="130" t="s">
        <v>936</v>
      </c>
      <c r="G182" s="130" t="s">
        <v>734</v>
      </c>
      <c r="H182" s="131" t="s">
        <v>733</v>
      </c>
      <c r="I182" s="130" t="s">
        <v>934</v>
      </c>
      <c r="J182" s="130" t="s">
        <v>936</v>
      </c>
      <c r="K182" s="132" t="s">
        <v>735</v>
      </c>
      <c r="N182" s="160" t="s">
        <v>679</v>
      </c>
      <c r="O182" s="161" t="s">
        <v>697</v>
      </c>
      <c r="P182" s="161" t="s">
        <v>733</v>
      </c>
      <c r="Q182" s="162" t="s">
        <v>698</v>
      </c>
      <c r="R182" s="162" t="s">
        <v>699</v>
      </c>
      <c r="S182" s="162" t="s">
        <v>734</v>
      </c>
      <c r="T182" s="200" t="s">
        <v>733</v>
      </c>
      <c r="U182" s="162" t="s">
        <v>698</v>
      </c>
      <c r="V182" s="162" t="s">
        <v>699</v>
      </c>
      <c r="W182" s="163" t="s">
        <v>735</v>
      </c>
      <c r="Z182" s="205" t="s">
        <v>679</v>
      </c>
      <c r="AA182" s="271" t="s">
        <v>922</v>
      </c>
      <c r="AB182" s="271" t="s">
        <v>923</v>
      </c>
      <c r="AC182" s="271" t="s">
        <v>924</v>
      </c>
      <c r="AD182" s="271" t="s">
        <v>925</v>
      </c>
      <c r="AE182" s="272" t="s">
        <v>928</v>
      </c>
      <c r="AF182" s="272" t="s">
        <v>929</v>
      </c>
      <c r="AG182" s="272" t="s">
        <v>930</v>
      </c>
      <c r="AH182" s="272" t="s">
        <v>931</v>
      </c>
      <c r="AI182" s="273" t="s">
        <v>687</v>
      </c>
      <c r="AJ182" s="273" t="s">
        <v>688</v>
      </c>
      <c r="AK182" s="273" t="s">
        <v>689</v>
      </c>
      <c r="AL182" s="273" t="s">
        <v>690</v>
      </c>
      <c r="AM182" s="218" t="s">
        <v>687</v>
      </c>
      <c r="AN182" s="273" t="s">
        <v>688</v>
      </c>
      <c r="AO182" s="273" t="s">
        <v>689</v>
      </c>
      <c r="AP182" s="273" t="s">
        <v>690</v>
      </c>
    </row>
    <row r="183" spans="1:55" ht="15.75" x14ac:dyDescent="0.25">
      <c r="A183" s="15">
        <v>1700</v>
      </c>
      <c r="B183" s="56" t="s">
        <v>779</v>
      </c>
      <c r="C183" s="285">
        <v>23</v>
      </c>
      <c r="D183" s="286">
        <v>97018.972500000003</v>
      </c>
      <c r="E183" s="287">
        <v>92970</v>
      </c>
      <c r="F183" s="287">
        <v>-4048.9725000000035</v>
      </c>
      <c r="G183" s="133">
        <f t="shared" ref="G183:G196" si="137">IFERROR(F183/E183,"--")</f>
        <v>-4.3551387544369186E-2</v>
      </c>
      <c r="H183" s="276">
        <v>121487.8326477364</v>
      </c>
      <c r="I183" s="275">
        <v>117485.6880452</v>
      </c>
      <c r="J183" s="287">
        <v>-4002.1446025363985</v>
      </c>
      <c r="K183" s="133">
        <f t="shared" ref="K183:K196" si="138">IFERROR(J183/I183,"--")</f>
        <v>-3.4064954371264881E-2</v>
      </c>
      <c r="N183" s="294" t="s">
        <v>779</v>
      </c>
      <c r="O183" s="288">
        <v>15</v>
      </c>
      <c r="P183" s="289">
        <v>94353.247456896555</v>
      </c>
      <c r="Q183" s="290">
        <v>86580</v>
      </c>
      <c r="R183" s="290">
        <v>-7773.2474568965554</v>
      </c>
      <c r="S183" s="181">
        <v>-8.978109790825313E-2</v>
      </c>
      <c r="T183" s="291">
        <v>115600.47391385328</v>
      </c>
      <c r="U183" s="277">
        <v>109002.5930024</v>
      </c>
      <c r="V183" s="290">
        <v>-6597.8809114532778</v>
      </c>
      <c r="W183" s="182">
        <v>-6.0529577597369696E-2</v>
      </c>
      <c r="Z183" s="295" t="s">
        <v>779</v>
      </c>
      <c r="AA183" s="189">
        <f t="shared" ref="AA183:AA195" si="139">IF($D183="-","-",IF($P183="-","-",D183))</f>
        <v>97018.972500000003</v>
      </c>
      <c r="AB183" s="189">
        <f t="shared" ref="AB183:AB195" si="140">IF($D183="-","-",IF($P183="-","-",E183))</f>
        <v>92970</v>
      </c>
      <c r="AC183" s="189">
        <f t="shared" ref="AC183:AC195" si="141">IF($D183="-","-",IF($P183="-","-",H183))</f>
        <v>121487.8326477364</v>
      </c>
      <c r="AD183" s="189">
        <f t="shared" ref="AD183:AD195" si="142">IF($D183="-","-",IF($P183="-","-",I183))</f>
        <v>117485.6880452</v>
      </c>
      <c r="AE183" s="189">
        <f t="shared" ref="AE183:AE195" si="143">IF($D183="-","-",IF($P183="-","-",P183))</f>
        <v>94353.247456896555</v>
      </c>
      <c r="AF183" s="189">
        <f t="shared" ref="AF183:AF195" si="144">IF($D183="-","-",IF($P183="-","-",Q183))</f>
        <v>86580</v>
      </c>
      <c r="AG183" s="189">
        <f t="shared" ref="AG183:AG195" si="145">IF($D183="-","-",IF($P183="-","-",T183))</f>
        <v>115600.47391385328</v>
      </c>
      <c r="AH183" s="189">
        <f t="shared" ref="AH183:AH195" si="146">IF($D183="-","-",IF($P183="-","-",U183))</f>
        <v>109002.5930024</v>
      </c>
      <c r="AI183" s="206">
        <f>IFERROR(AA183-AE183,"-")</f>
        <v>2665.7250431034481</v>
      </c>
      <c r="AJ183" s="206">
        <f t="shared" ref="AJ183:AL196" si="147">IFERROR(AB183-AF183,"-")</f>
        <v>6390</v>
      </c>
      <c r="AK183" s="189">
        <f t="shared" si="147"/>
        <v>5887.3587338831276</v>
      </c>
      <c r="AL183" s="189">
        <f t="shared" si="147"/>
        <v>8483.0950428000069</v>
      </c>
      <c r="AM183" s="219">
        <f t="shared" ref="AM183:AP195" si="148">IFERROR(AI183/AE183,"-")</f>
        <v>2.8252605129688118E-2</v>
      </c>
      <c r="AN183" s="214">
        <f t="shared" si="148"/>
        <v>7.3804573804573809E-2</v>
      </c>
      <c r="AO183" s="214">
        <f t="shared" si="148"/>
        <v>5.0928499984095661E-2</v>
      </c>
      <c r="AP183" s="214">
        <f t="shared" si="148"/>
        <v>7.7824708652694419E-2</v>
      </c>
    </row>
    <row r="184" spans="1:55" ht="15" customHeight="1" x14ac:dyDescent="0.25">
      <c r="A184" s="15">
        <v>1701</v>
      </c>
      <c r="B184" s="56" t="s">
        <v>778</v>
      </c>
      <c r="C184" s="285">
        <v>17</v>
      </c>
      <c r="D184" s="286">
        <v>118073.55</v>
      </c>
      <c r="E184" s="287">
        <v>86478</v>
      </c>
      <c r="F184" s="287">
        <v>-31595.550000000003</v>
      </c>
      <c r="G184" s="133">
        <f t="shared" si="137"/>
        <v>-0.36535939776590581</v>
      </c>
      <c r="H184" s="276">
        <v>143775.65603166341</v>
      </c>
      <c r="I184" s="275">
        <v>110171.40379447999</v>
      </c>
      <c r="J184" s="287">
        <v>-33604.25223718342</v>
      </c>
      <c r="K184" s="133">
        <f t="shared" si="138"/>
        <v>-0.30501791826008412</v>
      </c>
      <c r="N184" s="294" t="s">
        <v>778</v>
      </c>
      <c r="O184" s="288">
        <v>14</v>
      </c>
      <c r="P184" s="289">
        <v>106286.38146551725</v>
      </c>
      <c r="Q184" s="290">
        <v>80538</v>
      </c>
      <c r="R184" s="290">
        <v>-25748.381465517246</v>
      </c>
      <c r="S184" s="181">
        <v>-0.31970475384932884</v>
      </c>
      <c r="T184" s="291">
        <v>130513.52423216635</v>
      </c>
      <c r="U184" s="277">
        <v>102170.16478664</v>
      </c>
      <c r="V184" s="290">
        <v>-28343.359445526352</v>
      </c>
      <c r="W184" s="182">
        <v>-0.27741326936993049</v>
      </c>
      <c r="Z184" s="295" t="s">
        <v>778</v>
      </c>
      <c r="AA184" s="189">
        <f t="shared" si="139"/>
        <v>118073.55</v>
      </c>
      <c r="AB184" s="189">
        <f t="shared" si="140"/>
        <v>86478</v>
      </c>
      <c r="AC184" s="189">
        <f t="shared" si="141"/>
        <v>143775.65603166341</v>
      </c>
      <c r="AD184" s="189">
        <f t="shared" si="142"/>
        <v>110171.40379447999</v>
      </c>
      <c r="AE184" s="189">
        <f t="shared" si="143"/>
        <v>106286.38146551725</v>
      </c>
      <c r="AF184" s="189">
        <f t="shared" si="144"/>
        <v>80538</v>
      </c>
      <c r="AG184" s="189">
        <f t="shared" si="145"/>
        <v>130513.52423216635</v>
      </c>
      <c r="AH184" s="189">
        <f t="shared" si="146"/>
        <v>102170.16478664</v>
      </c>
      <c r="AI184" s="206">
        <f t="shared" ref="AI184:AI196" si="149">IFERROR(AA184-AE184,"-")</f>
        <v>11787.168534482757</v>
      </c>
      <c r="AJ184" s="206">
        <f t="shared" si="147"/>
        <v>5940</v>
      </c>
      <c r="AK184" s="189">
        <f t="shared" si="147"/>
        <v>13262.13179949706</v>
      </c>
      <c r="AL184" s="189">
        <f t="shared" si="147"/>
        <v>8001.2390078399912</v>
      </c>
      <c r="AM184" s="219">
        <f t="shared" si="148"/>
        <v>0.11090008307702992</v>
      </c>
      <c r="AN184" s="214">
        <f t="shared" si="148"/>
        <v>7.3754004320941674E-2</v>
      </c>
      <c r="AO184" s="214">
        <f t="shared" si="148"/>
        <v>0.10161500026545506</v>
      </c>
      <c r="AP184" s="214">
        <f t="shared" si="148"/>
        <v>7.8312871713076174E-2</v>
      </c>
    </row>
    <row r="185" spans="1:55" ht="15" customHeight="1" x14ac:dyDescent="0.25">
      <c r="A185" s="15">
        <v>1702</v>
      </c>
      <c r="B185" s="56" t="s">
        <v>777</v>
      </c>
      <c r="C185" s="285">
        <v>23</v>
      </c>
      <c r="D185" s="286">
        <v>90199.1</v>
      </c>
      <c r="E185" s="287">
        <v>92970</v>
      </c>
      <c r="F185" s="287">
        <v>2770.8999999999942</v>
      </c>
      <c r="G185" s="133">
        <f t="shared" si="137"/>
        <v>2.9804237926212694E-2</v>
      </c>
      <c r="H185" s="276">
        <v>114237.38630051501</v>
      </c>
      <c r="I185" s="275">
        <v>117485.6880452</v>
      </c>
      <c r="J185" s="287">
        <v>3248.301744684999</v>
      </c>
      <c r="K185" s="133">
        <f t="shared" si="138"/>
        <v>2.7648488924329976E-2</v>
      </c>
      <c r="N185" s="294" t="s">
        <v>777</v>
      </c>
      <c r="O185" s="288">
        <v>18</v>
      </c>
      <c r="P185" s="289">
        <v>89379.273706896551</v>
      </c>
      <c r="Q185" s="290">
        <v>86580</v>
      </c>
      <c r="R185" s="290">
        <v>-2799.2737068965507</v>
      </c>
      <c r="S185" s="181">
        <v>-3.2331643646298806E-2</v>
      </c>
      <c r="T185" s="291">
        <v>112170.40525433655</v>
      </c>
      <c r="U185" s="277">
        <v>109002.5930024</v>
      </c>
      <c r="V185" s="290">
        <v>-3167.812251936557</v>
      </c>
      <c r="W185" s="182">
        <v>-2.9061806372503531E-2</v>
      </c>
      <c r="Z185" s="295" t="s">
        <v>777</v>
      </c>
      <c r="AA185" s="189">
        <f t="shared" si="139"/>
        <v>90199.1</v>
      </c>
      <c r="AB185" s="189">
        <f t="shared" si="140"/>
        <v>92970</v>
      </c>
      <c r="AC185" s="189">
        <f t="shared" si="141"/>
        <v>114237.38630051501</v>
      </c>
      <c r="AD185" s="189">
        <f t="shared" si="142"/>
        <v>117485.6880452</v>
      </c>
      <c r="AE185" s="189">
        <f t="shared" si="143"/>
        <v>89379.273706896551</v>
      </c>
      <c r="AF185" s="189">
        <f t="shared" si="144"/>
        <v>86580</v>
      </c>
      <c r="AG185" s="189">
        <f t="shared" si="145"/>
        <v>112170.40525433655</v>
      </c>
      <c r="AH185" s="189">
        <f t="shared" si="146"/>
        <v>109002.5930024</v>
      </c>
      <c r="AI185" s="206">
        <f t="shared" si="149"/>
        <v>819.8262931034551</v>
      </c>
      <c r="AJ185" s="206">
        <f t="shared" si="147"/>
        <v>6390</v>
      </c>
      <c r="AK185" s="189">
        <f t="shared" si="147"/>
        <v>2066.9810461784509</v>
      </c>
      <c r="AL185" s="189">
        <f t="shared" si="147"/>
        <v>8483.0950428000069</v>
      </c>
      <c r="AM185" s="219">
        <f t="shared" si="148"/>
        <v>9.1724429960342909E-3</v>
      </c>
      <c r="AN185" s="214">
        <f t="shared" si="148"/>
        <v>7.3804573804573809E-2</v>
      </c>
      <c r="AO185" s="214">
        <f t="shared" si="148"/>
        <v>1.8427151453110583E-2</v>
      </c>
      <c r="AP185" s="214">
        <f t="shared" si="148"/>
        <v>7.7824708652694419E-2</v>
      </c>
    </row>
    <row r="186" spans="1:55" ht="15" customHeight="1" x14ac:dyDescent="0.25">
      <c r="A186" s="15">
        <v>1703</v>
      </c>
      <c r="B186" s="56" t="s">
        <v>776</v>
      </c>
      <c r="C186" s="285">
        <v>24</v>
      </c>
      <c r="D186" s="286">
        <v>77792.25</v>
      </c>
      <c r="E186" s="287">
        <v>80484</v>
      </c>
      <c r="F186" s="287">
        <v>2691.75</v>
      </c>
      <c r="G186" s="133">
        <f t="shared" si="137"/>
        <v>3.3444535559862827E-2</v>
      </c>
      <c r="H186" s="276">
        <v>100588.16448001</v>
      </c>
      <c r="I186" s="275">
        <v>103418.19680144</v>
      </c>
      <c r="J186" s="287">
        <v>2830.0323214300006</v>
      </c>
      <c r="K186" s="133">
        <f t="shared" si="138"/>
        <v>2.7364935852281221E-2</v>
      </c>
      <c r="N186" s="294" t="s">
        <v>776</v>
      </c>
      <c r="O186" s="288">
        <v>20</v>
      </c>
      <c r="P186" s="289">
        <v>78992.802500000005</v>
      </c>
      <c r="Q186" s="290">
        <v>74952</v>
      </c>
      <c r="R186" s="290">
        <v>-4040.8025000000052</v>
      </c>
      <c r="S186" s="181">
        <v>-5.3911870263635461E-2</v>
      </c>
      <c r="T186" s="291">
        <v>100754.11245348</v>
      </c>
      <c r="U186" s="277">
        <v>95853.391530559995</v>
      </c>
      <c r="V186" s="290">
        <v>-4900.7209229200089</v>
      </c>
      <c r="W186" s="182">
        <v>-5.1127256372118665E-2</v>
      </c>
      <c r="Z186" s="295" t="s">
        <v>776</v>
      </c>
      <c r="AA186" s="189">
        <f t="shared" si="139"/>
        <v>77792.25</v>
      </c>
      <c r="AB186" s="189">
        <f t="shared" si="140"/>
        <v>80484</v>
      </c>
      <c r="AC186" s="189">
        <f t="shared" si="141"/>
        <v>100588.16448001</v>
      </c>
      <c r="AD186" s="189">
        <f t="shared" si="142"/>
        <v>103418.19680144</v>
      </c>
      <c r="AE186" s="189">
        <f t="shared" si="143"/>
        <v>78992.802500000005</v>
      </c>
      <c r="AF186" s="189">
        <f t="shared" si="144"/>
        <v>74952</v>
      </c>
      <c r="AG186" s="189">
        <f t="shared" si="145"/>
        <v>100754.11245348</v>
      </c>
      <c r="AH186" s="189">
        <f t="shared" si="146"/>
        <v>95853.391530559995</v>
      </c>
      <c r="AI186" s="206">
        <f t="shared" si="149"/>
        <v>-1200.5525000000052</v>
      </c>
      <c r="AJ186" s="206">
        <f t="shared" si="147"/>
        <v>5532</v>
      </c>
      <c r="AK186" s="189">
        <f t="shared" si="147"/>
        <v>-165.94797346999985</v>
      </c>
      <c r="AL186" s="189">
        <f t="shared" si="147"/>
        <v>7564.8052708800096</v>
      </c>
      <c r="AM186" s="219">
        <f t="shared" si="148"/>
        <v>-1.5198251764773192E-2</v>
      </c>
      <c r="AN186" s="214">
        <f t="shared" si="148"/>
        <v>7.3807236631444118E-2</v>
      </c>
      <c r="AO186" s="214">
        <f t="shared" si="148"/>
        <v>-1.6470590572332325E-3</v>
      </c>
      <c r="AP186" s="214">
        <f t="shared" si="148"/>
        <v>7.8920580170271773E-2</v>
      </c>
    </row>
    <row r="187" spans="1:55" ht="15" customHeight="1" x14ac:dyDescent="0.25">
      <c r="A187" s="15">
        <v>1704</v>
      </c>
      <c r="B187" s="56" t="s">
        <v>592</v>
      </c>
      <c r="C187" s="285">
        <v>18</v>
      </c>
      <c r="D187" s="286">
        <v>100132.96903104211</v>
      </c>
      <c r="E187" s="287">
        <v>97626</v>
      </c>
      <c r="F187" s="287">
        <v>-2506.9690310421138</v>
      </c>
      <c r="G187" s="133">
        <f t="shared" si="137"/>
        <v>-2.5679317303199084E-2</v>
      </c>
      <c r="H187" s="276">
        <v>123204.32680044489</v>
      </c>
      <c r="I187" s="275">
        <v>122731.42240616</v>
      </c>
      <c r="J187" s="287">
        <v>-472.90439428489481</v>
      </c>
      <c r="K187" s="133">
        <f t="shared" si="138"/>
        <v>-3.8531647805717874E-3</v>
      </c>
      <c r="N187" s="294" t="s">
        <v>592</v>
      </c>
      <c r="O187" s="288">
        <v>13</v>
      </c>
      <c r="P187" s="289">
        <v>95359.557327586212</v>
      </c>
      <c r="Q187" s="290">
        <v>90918</v>
      </c>
      <c r="R187" s="290">
        <v>-4441.5573275862116</v>
      </c>
      <c r="S187" s="181">
        <v>-4.885234307382709E-2</v>
      </c>
      <c r="T187" s="291">
        <v>115422.25549523422</v>
      </c>
      <c r="U187" s="277">
        <v>113908.10005304001</v>
      </c>
      <c r="V187" s="290">
        <v>-1514.1554421942128</v>
      </c>
      <c r="W187" s="182">
        <v>-1.3292781123459734E-2</v>
      </c>
      <c r="Z187" s="295" t="s">
        <v>592</v>
      </c>
      <c r="AA187" s="189">
        <f t="shared" si="139"/>
        <v>100132.96903104211</v>
      </c>
      <c r="AB187" s="189">
        <f t="shared" si="140"/>
        <v>97626</v>
      </c>
      <c r="AC187" s="189">
        <f t="shared" si="141"/>
        <v>123204.32680044489</v>
      </c>
      <c r="AD187" s="189">
        <f t="shared" si="142"/>
        <v>122731.42240616</v>
      </c>
      <c r="AE187" s="189">
        <f t="shared" si="143"/>
        <v>95359.557327586212</v>
      </c>
      <c r="AF187" s="189">
        <f t="shared" si="144"/>
        <v>90918</v>
      </c>
      <c r="AG187" s="189">
        <f t="shared" si="145"/>
        <v>115422.25549523422</v>
      </c>
      <c r="AH187" s="189">
        <f t="shared" si="146"/>
        <v>113908.10005304001</v>
      </c>
      <c r="AI187" s="206">
        <f t="shared" si="149"/>
        <v>4773.4117034559022</v>
      </c>
      <c r="AJ187" s="206">
        <f t="shared" si="147"/>
        <v>6708</v>
      </c>
      <c r="AK187" s="189">
        <f t="shared" si="147"/>
        <v>7782.071305210673</v>
      </c>
      <c r="AL187" s="189">
        <f t="shared" si="147"/>
        <v>8823.322353119991</v>
      </c>
      <c r="AM187" s="219">
        <f t="shared" si="148"/>
        <v>5.0056982616413843E-2</v>
      </c>
      <c r="AN187" s="214">
        <f t="shared" si="148"/>
        <v>7.3780769484590517E-2</v>
      </c>
      <c r="AO187" s="214">
        <f t="shared" si="148"/>
        <v>6.7422623755017452E-2</v>
      </c>
      <c r="AP187" s="214">
        <f t="shared" si="148"/>
        <v>7.7460008103124464E-2</v>
      </c>
    </row>
    <row r="188" spans="1:55" ht="15" customHeight="1" x14ac:dyDescent="0.25">
      <c r="A188" s="15">
        <v>1705</v>
      </c>
      <c r="B188" s="56" t="s">
        <v>775</v>
      </c>
      <c r="C188" s="285">
        <v>23</v>
      </c>
      <c r="D188" s="286">
        <v>93843.072500000009</v>
      </c>
      <c r="E188" s="287">
        <v>92970</v>
      </c>
      <c r="F188" s="287">
        <v>-873.07250000000931</v>
      </c>
      <c r="G188" s="133">
        <f t="shared" si="137"/>
        <v>-9.3909056684953144E-3</v>
      </c>
      <c r="H188" s="276">
        <v>118280.3252067752</v>
      </c>
      <c r="I188" s="275">
        <v>117485.6880452</v>
      </c>
      <c r="J188" s="287">
        <v>-794.63716157519957</v>
      </c>
      <c r="K188" s="133">
        <f t="shared" si="138"/>
        <v>-6.7636933042387309E-3</v>
      </c>
      <c r="N188" s="294" t="s">
        <v>775</v>
      </c>
      <c r="O188" s="288">
        <v>16</v>
      </c>
      <c r="P188" s="289">
        <v>87807</v>
      </c>
      <c r="Q188" s="290">
        <v>86580</v>
      </c>
      <c r="R188" s="290">
        <v>-1227</v>
      </c>
      <c r="S188" s="181">
        <v>-1.4171864171864171E-2</v>
      </c>
      <c r="T188" s="291">
        <v>109318.90105639836</v>
      </c>
      <c r="U188" s="277">
        <v>109002.5930024</v>
      </c>
      <c r="V188" s="290">
        <v>-316.3080539983639</v>
      </c>
      <c r="W188" s="182">
        <v>-2.9018397203761886E-3</v>
      </c>
      <c r="Z188" s="295" t="s">
        <v>775</v>
      </c>
      <c r="AA188" s="189">
        <f t="shared" si="139"/>
        <v>93843.072500000009</v>
      </c>
      <c r="AB188" s="189">
        <f t="shared" si="140"/>
        <v>92970</v>
      </c>
      <c r="AC188" s="189">
        <f t="shared" si="141"/>
        <v>118280.3252067752</v>
      </c>
      <c r="AD188" s="189">
        <f t="shared" si="142"/>
        <v>117485.6880452</v>
      </c>
      <c r="AE188" s="189">
        <f t="shared" si="143"/>
        <v>87807</v>
      </c>
      <c r="AF188" s="189">
        <f t="shared" si="144"/>
        <v>86580</v>
      </c>
      <c r="AG188" s="189">
        <f t="shared" si="145"/>
        <v>109318.90105639836</v>
      </c>
      <c r="AH188" s="189">
        <f t="shared" si="146"/>
        <v>109002.5930024</v>
      </c>
      <c r="AI188" s="206">
        <f t="shared" si="149"/>
        <v>6036.0725000000093</v>
      </c>
      <c r="AJ188" s="206">
        <f t="shared" si="147"/>
        <v>6390</v>
      </c>
      <c r="AK188" s="189">
        <f t="shared" si="147"/>
        <v>8961.4241503768426</v>
      </c>
      <c r="AL188" s="189">
        <f t="shared" si="147"/>
        <v>8483.0950428000069</v>
      </c>
      <c r="AM188" s="219">
        <f t="shared" si="148"/>
        <v>6.8742497750748907E-2</v>
      </c>
      <c r="AN188" s="214">
        <f t="shared" si="148"/>
        <v>7.3804573804573809E-2</v>
      </c>
      <c r="AO188" s="214">
        <f t="shared" si="148"/>
        <v>8.1975066194212687E-2</v>
      </c>
      <c r="AP188" s="214">
        <f t="shared" si="148"/>
        <v>7.7824708652694419E-2</v>
      </c>
    </row>
    <row r="189" spans="1:55" ht="15" customHeight="1" x14ac:dyDescent="0.25">
      <c r="A189" s="15">
        <v>1706</v>
      </c>
      <c r="B189" s="56" t="s">
        <v>774</v>
      </c>
      <c r="C189" s="285">
        <v>9</v>
      </c>
      <c r="D189" s="286">
        <v>108266.5</v>
      </c>
      <c r="E189" s="287">
        <v>80484</v>
      </c>
      <c r="F189" s="287">
        <v>-27782.5</v>
      </c>
      <c r="G189" s="133">
        <f t="shared" si="137"/>
        <v>-0.34519283335818302</v>
      </c>
      <c r="H189" s="276">
        <v>135580.15865402517</v>
      </c>
      <c r="I189" s="275">
        <v>103418.19680144</v>
      </c>
      <c r="J189" s="287">
        <v>-32161.961852585169</v>
      </c>
      <c r="K189" s="133">
        <f t="shared" si="138"/>
        <v>-0.31098938917234481</v>
      </c>
      <c r="N189" s="294" t="s">
        <v>774</v>
      </c>
      <c r="O189" s="288">
        <v>11</v>
      </c>
      <c r="P189" s="289">
        <v>106047.50538793104</v>
      </c>
      <c r="Q189" s="290">
        <v>74952</v>
      </c>
      <c r="R189" s="290">
        <v>-31095.505387931044</v>
      </c>
      <c r="S189" s="181">
        <v>-0.41487225675006728</v>
      </c>
      <c r="T189" s="291">
        <v>133505.97235251425</v>
      </c>
      <c r="U189" s="277">
        <v>95853.391530559995</v>
      </c>
      <c r="V189" s="290">
        <v>-37652.580821954252</v>
      </c>
      <c r="W189" s="182">
        <v>-0.39281427835497973</v>
      </c>
      <c r="Z189" s="295" t="s">
        <v>774</v>
      </c>
      <c r="AA189" s="189">
        <f t="shared" si="139"/>
        <v>108266.5</v>
      </c>
      <c r="AB189" s="189">
        <f t="shared" si="140"/>
        <v>80484</v>
      </c>
      <c r="AC189" s="189">
        <f t="shared" si="141"/>
        <v>135580.15865402517</v>
      </c>
      <c r="AD189" s="189">
        <f t="shared" si="142"/>
        <v>103418.19680144</v>
      </c>
      <c r="AE189" s="189">
        <f t="shared" si="143"/>
        <v>106047.50538793104</v>
      </c>
      <c r="AF189" s="189">
        <f t="shared" si="144"/>
        <v>74952</v>
      </c>
      <c r="AG189" s="189">
        <f t="shared" si="145"/>
        <v>133505.97235251425</v>
      </c>
      <c r="AH189" s="189">
        <f t="shared" si="146"/>
        <v>95853.391530559995</v>
      </c>
      <c r="AI189" s="206">
        <f t="shared" si="149"/>
        <v>2218.9946120689565</v>
      </c>
      <c r="AJ189" s="206">
        <f t="shared" si="147"/>
        <v>5532</v>
      </c>
      <c r="AK189" s="189">
        <f t="shared" si="147"/>
        <v>2074.1863015109266</v>
      </c>
      <c r="AL189" s="189">
        <f t="shared" si="147"/>
        <v>7564.8052708800096</v>
      </c>
      <c r="AM189" s="219">
        <f t="shared" si="148"/>
        <v>2.0924533811065901E-2</v>
      </c>
      <c r="AN189" s="214">
        <f t="shared" si="148"/>
        <v>7.3807236631444118E-2</v>
      </c>
      <c r="AO189" s="214">
        <f t="shared" si="148"/>
        <v>1.5536280998981574E-2</v>
      </c>
      <c r="AP189" s="214">
        <f t="shared" si="148"/>
        <v>7.8920580170271773E-2</v>
      </c>
    </row>
    <row r="190" spans="1:55" ht="15" customHeight="1" x14ac:dyDescent="0.25">
      <c r="A190" s="15">
        <v>1707</v>
      </c>
      <c r="B190" s="56" t="s">
        <v>773</v>
      </c>
      <c r="C190" s="285">
        <v>17</v>
      </c>
      <c r="D190" s="286">
        <v>109988.5</v>
      </c>
      <c r="E190" s="287">
        <v>97626</v>
      </c>
      <c r="F190" s="287">
        <v>-12362.5</v>
      </c>
      <c r="G190" s="133">
        <f t="shared" si="137"/>
        <v>-0.12663122528834531</v>
      </c>
      <c r="H190" s="276">
        <v>136156.49398968741</v>
      </c>
      <c r="I190" s="275">
        <v>122731.42240616</v>
      </c>
      <c r="J190" s="287">
        <v>-13425.071583527417</v>
      </c>
      <c r="K190" s="133">
        <f t="shared" si="138"/>
        <v>-0.10938577358860302</v>
      </c>
      <c r="N190" s="294" t="s">
        <v>773</v>
      </c>
      <c r="O190" s="288">
        <v>16</v>
      </c>
      <c r="P190" s="289">
        <v>108789.2198275862</v>
      </c>
      <c r="Q190" s="290">
        <v>90918</v>
      </c>
      <c r="R190" s="290">
        <v>-17871.219827586203</v>
      </c>
      <c r="S190" s="181">
        <v>-0.19656415481627623</v>
      </c>
      <c r="T190" s="291">
        <v>134328.26347525782</v>
      </c>
      <c r="U190" s="277">
        <v>113908.10005304001</v>
      </c>
      <c r="V190" s="290">
        <v>-20420.163422217811</v>
      </c>
      <c r="W190" s="182">
        <v>-0.17926875624042007</v>
      </c>
      <c r="Z190" s="295" t="s">
        <v>773</v>
      </c>
      <c r="AA190" s="189">
        <f t="shared" si="139"/>
        <v>109988.5</v>
      </c>
      <c r="AB190" s="189">
        <f t="shared" si="140"/>
        <v>97626</v>
      </c>
      <c r="AC190" s="189">
        <f t="shared" si="141"/>
        <v>136156.49398968741</v>
      </c>
      <c r="AD190" s="189">
        <f t="shared" si="142"/>
        <v>122731.42240616</v>
      </c>
      <c r="AE190" s="189">
        <f t="shared" si="143"/>
        <v>108789.2198275862</v>
      </c>
      <c r="AF190" s="189">
        <f t="shared" si="144"/>
        <v>90918</v>
      </c>
      <c r="AG190" s="189">
        <f t="shared" si="145"/>
        <v>134328.26347525782</v>
      </c>
      <c r="AH190" s="189">
        <f t="shared" si="146"/>
        <v>113908.10005304001</v>
      </c>
      <c r="AI190" s="206">
        <f t="shared" si="149"/>
        <v>1199.2801724137971</v>
      </c>
      <c r="AJ190" s="206">
        <f t="shared" si="147"/>
        <v>6708</v>
      </c>
      <c r="AK190" s="189">
        <f t="shared" si="147"/>
        <v>1828.230514429597</v>
      </c>
      <c r="AL190" s="189">
        <f t="shared" si="147"/>
        <v>8823.322353119991</v>
      </c>
      <c r="AM190" s="219">
        <f t="shared" si="148"/>
        <v>1.1023887976349747E-2</v>
      </c>
      <c r="AN190" s="214">
        <f t="shared" si="148"/>
        <v>7.3780769484590517E-2</v>
      </c>
      <c r="AO190" s="214">
        <f t="shared" si="148"/>
        <v>1.3610170094742141E-2</v>
      </c>
      <c r="AP190" s="214">
        <f t="shared" si="148"/>
        <v>7.7460008103124464E-2</v>
      </c>
    </row>
    <row r="191" spans="1:55" ht="15" customHeight="1" x14ac:dyDescent="0.25">
      <c r="A191" s="15">
        <v>1708</v>
      </c>
      <c r="B191" s="56" t="s">
        <v>772</v>
      </c>
      <c r="C191" s="285">
        <v>9</v>
      </c>
      <c r="D191" s="286">
        <v>94069</v>
      </c>
      <c r="E191" s="287">
        <v>92970</v>
      </c>
      <c r="F191" s="287">
        <v>-1099</v>
      </c>
      <c r="G191" s="133">
        <f t="shared" si="137"/>
        <v>-1.1821017532537378E-2</v>
      </c>
      <c r="H191" s="276">
        <v>118007.02370379622</v>
      </c>
      <c r="I191" s="275">
        <v>117485.6880452</v>
      </c>
      <c r="J191" s="287">
        <v>-521.3356585962174</v>
      </c>
      <c r="K191" s="133">
        <f t="shared" si="138"/>
        <v>-4.4374397194290177E-3</v>
      </c>
      <c r="N191" s="294" t="s">
        <v>772</v>
      </c>
      <c r="O191" s="288">
        <v>9</v>
      </c>
      <c r="P191" s="289">
        <v>88547</v>
      </c>
      <c r="Q191" s="290">
        <v>86580</v>
      </c>
      <c r="R191" s="290">
        <v>-1967</v>
      </c>
      <c r="S191" s="181">
        <v>-2.2718872718872719E-2</v>
      </c>
      <c r="T191" s="291">
        <v>109794.22645695672</v>
      </c>
      <c r="U191" s="277">
        <v>109002.5930024</v>
      </c>
      <c r="V191" s="290">
        <v>-791.63345455672243</v>
      </c>
      <c r="W191" s="182">
        <v>-7.2625194754705738E-3</v>
      </c>
      <c r="Z191" s="295" t="s">
        <v>772</v>
      </c>
      <c r="AA191" s="189">
        <f t="shared" si="139"/>
        <v>94069</v>
      </c>
      <c r="AB191" s="189">
        <f t="shared" si="140"/>
        <v>92970</v>
      </c>
      <c r="AC191" s="189">
        <f t="shared" si="141"/>
        <v>118007.02370379622</v>
      </c>
      <c r="AD191" s="189">
        <f t="shared" si="142"/>
        <v>117485.6880452</v>
      </c>
      <c r="AE191" s="189">
        <f t="shared" si="143"/>
        <v>88547</v>
      </c>
      <c r="AF191" s="189">
        <f t="shared" si="144"/>
        <v>86580</v>
      </c>
      <c r="AG191" s="189">
        <f t="shared" si="145"/>
        <v>109794.22645695672</v>
      </c>
      <c r="AH191" s="189">
        <f t="shared" si="146"/>
        <v>109002.5930024</v>
      </c>
      <c r="AI191" s="206">
        <f t="shared" si="149"/>
        <v>5522</v>
      </c>
      <c r="AJ191" s="206">
        <f t="shared" si="147"/>
        <v>6390</v>
      </c>
      <c r="AK191" s="189">
        <f t="shared" si="147"/>
        <v>8212.7972468395019</v>
      </c>
      <c r="AL191" s="189">
        <f t="shared" si="147"/>
        <v>8483.0950428000069</v>
      </c>
      <c r="AM191" s="219">
        <f t="shared" si="148"/>
        <v>6.2362361231888153E-2</v>
      </c>
      <c r="AN191" s="214">
        <f t="shared" si="148"/>
        <v>7.3804573804573809E-2</v>
      </c>
      <c r="AO191" s="214">
        <f t="shared" si="148"/>
        <v>7.4801722384366109E-2</v>
      </c>
      <c r="AP191" s="214">
        <f t="shared" si="148"/>
        <v>7.7824708652694419E-2</v>
      </c>
    </row>
    <row r="192" spans="1:55" ht="15" customHeight="1" x14ac:dyDescent="0.25">
      <c r="A192" s="15">
        <v>1709</v>
      </c>
      <c r="B192" s="56" t="s">
        <v>771</v>
      </c>
      <c r="C192" s="285">
        <v>16</v>
      </c>
      <c r="D192" s="286">
        <v>105152</v>
      </c>
      <c r="E192" s="287">
        <v>92970</v>
      </c>
      <c r="F192" s="287">
        <v>-12182</v>
      </c>
      <c r="G192" s="133">
        <f t="shared" si="137"/>
        <v>-0.13103151554264816</v>
      </c>
      <c r="H192" s="276">
        <v>129509.30487758954</v>
      </c>
      <c r="I192" s="275">
        <v>117485.6880452</v>
      </c>
      <c r="J192" s="287">
        <v>-12023.61683238954</v>
      </c>
      <c r="K192" s="133">
        <f t="shared" si="138"/>
        <v>-0.10234111943714984</v>
      </c>
      <c r="N192" s="294" t="s">
        <v>771</v>
      </c>
      <c r="O192" s="288">
        <v>14</v>
      </c>
      <c r="P192" s="289">
        <v>95698</v>
      </c>
      <c r="Q192" s="290">
        <v>86580</v>
      </c>
      <c r="R192" s="290">
        <v>-9118</v>
      </c>
      <c r="S192" s="181">
        <v>-0.10531300531300532</v>
      </c>
      <c r="T192" s="291">
        <v>118906.63993567823</v>
      </c>
      <c r="U192" s="277">
        <v>109002.5930024</v>
      </c>
      <c r="V192" s="290">
        <v>-9904.0469332782377</v>
      </c>
      <c r="W192" s="182">
        <v>-9.0860654416360279E-2</v>
      </c>
      <c r="Z192" s="295" t="s">
        <v>771</v>
      </c>
      <c r="AA192" s="189">
        <f t="shared" si="139"/>
        <v>105152</v>
      </c>
      <c r="AB192" s="189">
        <f t="shared" si="140"/>
        <v>92970</v>
      </c>
      <c r="AC192" s="189">
        <f t="shared" si="141"/>
        <v>129509.30487758954</v>
      </c>
      <c r="AD192" s="189">
        <f t="shared" si="142"/>
        <v>117485.6880452</v>
      </c>
      <c r="AE192" s="189">
        <f t="shared" si="143"/>
        <v>95698</v>
      </c>
      <c r="AF192" s="189">
        <f t="shared" si="144"/>
        <v>86580</v>
      </c>
      <c r="AG192" s="189">
        <f t="shared" si="145"/>
        <v>118906.63993567823</v>
      </c>
      <c r="AH192" s="189">
        <f t="shared" si="146"/>
        <v>109002.5930024</v>
      </c>
      <c r="AI192" s="206">
        <f t="shared" si="149"/>
        <v>9454</v>
      </c>
      <c r="AJ192" s="206">
        <f t="shared" si="147"/>
        <v>6390</v>
      </c>
      <c r="AK192" s="189">
        <f t="shared" si="147"/>
        <v>10602.664941911309</v>
      </c>
      <c r="AL192" s="189">
        <f t="shared" si="147"/>
        <v>8483.0950428000069</v>
      </c>
      <c r="AM192" s="219">
        <f t="shared" si="148"/>
        <v>9.8789943363497668E-2</v>
      </c>
      <c r="AN192" s="214">
        <f t="shared" si="148"/>
        <v>7.3804573804573809E-2</v>
      </c>
      <c r="AO192" s="214">
        <f t="shared" si="148"/>
        <v>8.9167980422680773E-2</v>
      </c>
      <c r="AP192" s="214">
        <f t="shared" si="148"/>
        <v>7.7824708652694419E-2</v>
      </c>
    </row>
    <row r="193" spans="1:55" ht="15" customHeight="1" x14ac:dyDescent="0.25">
      <c r="A193" s="15">
        <v>1710</v>
      </c>
      <c r="B193" s="56" t="s">
        <v>770</v>
      </c>
      <c r="C193" s="285">
        <v>24</v>
      </c>
      <c r="D193" s="286">
        <v>98532.969031042114</v>
      </c>
      <c r="E193" s="287">
        <v>97626</v>
      </c>
      <c r="F193" s="287">
        <v>-906.96903104211378</v>
      </c>
      <c r="G193" s="133">
        <f t="shared" si="137"/>
        <v>-9.290240622806565E-3</v>
      </c>
      <c r="H193" s="276">
        <v>122781.45744289961</v>
      </c>
      <c r="I193" s="275">
        <v>122731.42240616</v>
      </c>
      <c r="J193" s="287">
        <v>-50.035036739616771</v>
      </c>
      <c r="K193" s="133">
        <f t="shared" si="138"/>
        <v>-4.0767910742559331E-4</v>
      </c>
      <c r="N193" s="294" t="s">
        <v>770</v>
      </c>
      <c r="O193" s="288">
        <v>18</v>
      </c>
      <c r="P193" s="289">
        <v>92857</v>
      </c>
      <c r="Q193" s="290">
        <v>90918</v>
      </c>
      <c r="R193" s="290">
        <v>-1939</v>
      </c>
      <c r="S193" s="181">
        <v>-2.1326909962823642E-2</v>
      </c>
      <c r="T193" s="291">
        <v>114870.837340752</v>
      </c>
      <c r="U193" s="277">
        <v>113908.10005304001</v>
      </c>
      <c r="V193" s="290">
        <v>-962.73728771199239</v>
      </c>
      <c r="W193" s="182">
        <v>-8.4518773227163363E-3</v>
      </c>
      <c r="Z193" s="295" t="s">
        <v>770</v>
      </c>
      <c r="AA193" s="189">
        <f t="shared" si="139"/>
        <v>98532.969031042114</v>
      </c>
      <c r="AB193" s="189">
        <f t="shared" si="140"/>
        <v>97626</v>
      </c>
      <c r="AC193" s="189">
        <f t="shared" si="141"/>
        <v>122781.45744289961</v>
      </c>
      <c r="AD193" s="189">
        <f t="shared" si="142"/>
        <v>122731.42240616</v>
      </c>
      <c r="AE193" s="189">
        <f t="shared" si="143"/>
        <v>92857</v>
      </c>
      <c r="AF193" s="189">
        <f t="shared" si="144"/>
        <v>90918</v>
      </c>
      <c r="AG193" s="189">
        <f t="shared" si="145"/>
        <v>114870.837340752</v>
      </c>
      <c r="AH193" s="189">
        <f t="shared" si="146"/>
        <v>113908.10005304001</v>
      </c>
      <c r="AI193" s="206">
        <f t="shared" si="149"/>
        <v>5675.9690310421138</v>
      </c>
      <c r="AJ193" s="206">
        <f t="shared" si="147"/>
        <v>6708</v>
      </c>
      <c r="AK193" s="189">
        <f t="shared" si="147"/>
        <v>7910.6201021476154</v>
      </c>
      <c r="AL193" s="189">
        <f t="shared" si="147"/>
        <v>8823.322353119991</v>
      </c>
      <c r="AM193" s="219">
        <f t="shared" si="148"/>
        <v>6.1125914374167957E-2</v>
      </c>
      <c r="AN193" s="214">
        <f t="shared" si="148"/>
        <v>7.3780769484590517E-2</v>
      </c>
      <c r="AO193" s="214">
        <f t="shared" si="148"/>
        <v>6.8865347248071418E-2</v>
      </c>
      <c r="AP193" s="214">
        <f t="shared" si="148"/>
        <v>7.7460008103124464E-2</v>
      </c>
    </row>
    <row r="194" spans="1:55" ht="15" customHeight="1" x14ac:dyDescent="0.25">
      <c r="A194" s="15">
        <v>1711</v>
      </c>
      <c r="B194" s="56" t="s">
        <v>769</v>
      </c>
      <c r="C194" s="285">
        <v>6</v>
      </c>
      <c r="D194" s="286">
        <v>91913.489999999991</v>
      </c>
      <c r="E194" s="287">
        <v>86478</v>
      </c>
      <c r="F194" s="287">
        <v>-5435.4899999999907</v>
      </c>
      <c r="G194" s="133">
        <f t="shared" si="137"/>
        <v>-6.2854020675778707E-2</v>
      </c>
      <c r="H194" s="276">
        <v>115428.57207843976</v>
      </c>
      <c r="I194" s="275">
        <v>110171.40379447999</v>
      </c>
      <c r="J194" s="287">
        <v>-5257.1682839597634</v>
      </c>
      <c r="K194" s="133">
        <f t="shared" si="138"/>
        <v>-4.7718083848389409E-2</v>
      </c>
      <c r="N194" s="294" t="s">
        <v>769</v>
      </c>
      <c r="O194" s="288">
        <v>6</v>
      </c>
      <c r="P194" s="289">
        <v>93620.03</v>
      </c>
      <c r="Q194" s="290">
        <v>80538</v>
      </c>
      <c r="R194" s="290">
        <v>-13082.029999999999</v>
      </c>
      <c r="S194" s="181">
        <v>-0.162433012987658</v>
      </c>
      <c r="T194" s="291">
        <v>117367.08906325305</v>
      </c>
      <c r="U194" s="277">
        <v>102170.16478664</v>
      </c>
      <c r="V194" s="290">
        <v>-15196.924276613048</v>
      </c>
      <c r="W194" s="182">
        <v>-0.1487413112071268</v>
      </c>
      <c r="Z194" s="295" t="s">
        <v>769</v>
      </c>
      <c r="AA194" s="189">
        <f t="shared" si="139"/>
        <v>91913.489999999991</v>
      </c>
      <c r="AB194" s="189">
        <f t="shared" si="140"/>
        <v>86478</v>
      </c>
      <c r="AC194" s="189">
        <f t="shared" si="141"/>
        <v>115428.57207843976</v>
      </c>
      <c r="AD194" s="189">
        <f t="shared" si="142"/>
        <v>110171.40379447999</v>
      </c>
      <c r="AE194" s="189">
        <f t="shared" si="143"/>
        <v>93620.03</v>
      </c>
      <c r="AF194" s="189">
        <f t="shared" si="144"/>
        <v>80538</v>
      </c>
      <c r="AG194" s="189">
        <f t="shared" si="145"/>
        <v>117367.08906325305</v>
      </c>
      <c r="AH194" s="189">
        <f t="shared" si="146"/>
        <v>102170.16478664</v>
      </c>
      <c r="AI194" s="206">
        <f t="shared" si="149"/>
        <v>-1706.5400000000081</v>
      </c>
      <c r="AJ194" s="206">
        <f t="shared" si="147"/>
        <v>5940</v>
      </c>
      <c r="AK194" s="189">
        <f t="shared" si="147"/>
        <v>-1938.5169848132937</v>
      </c>
      <c r="AL194" s="189">
        <f t="shared" si="147"/>
        <v>8001.2390078399912</v>
      </c>
      <c r="AM194" s="219">
        <f t="shared" si="148"/>
        <v>-1.8228364165232679E-2</v>
      </c>
      <c r="AN194" s="214">
        <f t="shared" si="148"/>
        <v>7.3754004320941674E-2</v>
      </c>
      <c r="AO194" s="214">
        <f t="shared" si="148"/>
        <v>-1.6516699871192701E-2</v>
      </c>
      <c r="AP194" s="214">
        <f t="shared" si="148"/>
        <v>7.8312871713076174E-2</v>
      </c>
    </row>
    <row r="195" spans="1:55" ht="15.75" x14ac:dyDescent="0.25">
      <c r="A195" s="15">
        <v>1712</v>
      </c>
      <c r="B195" s="56" t="s">
        <v>237</v>
      </c>
      <c r="C195" s="285">
        <v>21</v>
      </c>
      <c r="D195" s="286">
        <v>70289</v>
      </c>
      <c r="E195" s="287">
        <v>54582</v>
      </c>
      <c r="F195" s="287">
        <v>-15707</v>
      </c>
      <c r="G195" s="133">
        <f t="shared" si="137"/>
        <v>-0.28776886152944192</v>
      </c>
      <c r="H195" s="276">
        <v>91609.91360652</v>
      </c>
      <c r="I195" s="275">
        <v>74235.419435119999</v>
      </c>
      <c r="J195" s="287">
        <v>-17374.494171400002</v>
      </c>
      <c r="K195" s="133">
        <f t="shared" si="138"/>
        <v>-0.23404588138125762</v>
      </c>
      <c r="N195" s="164" t="s">
        <v>237</v>
      </c>
      <c r="O195" s="288">
        <v>15</v>
      </c>
      <c r="P195" s="289">
        <v>65397.605684931514</v>
      </c>
      <c r="Q195" s="290">
        <v>50826</v>
      </c>
      <c r="R195" s="290">
        <v>-14571.605684931514</v>
      </c>
      <c r="S195" s="181">
        <v>-0.28669589747238644</v>
      </c>
      <c r="T195" s="291">
        <v>84656.410802291502</v>
      </c>
      <c r="U195" s="277">
        <v>68571.173203280006</v>
      </c>
      <c r="V195" s="290">
        <v>-16085.237599011496</v>
      </c>
      <c r="W195" s="182">
        <v>-0.23457725524582509</v>
      </c>
      <c r="Z195" s="292" t="s">
        <v>237</v>
      </c>
      <c r="AA195" s="189">
        <f t="shared" si="139"/>
        <v>70289</v>
      </c>
      <c r="AB195" s="189">
        <f t="shared" si="140"/>
        <v>54582</v>
      </c>
      <c r="AC195" s="189">
        <f t="shared" si="141"/>
        <v>91609.91360652</v>
      </c>
      <c r="AD195" s="189">
        <f t="shared" si="142"/>
        <v>74235.419435119999</v>
      </c>
      <c r="AE195" s="189">
        <f t="shared" si="143"/>
        <v>65397.605684931514</v>
      </c>
      <c r="AF195" s="189">
        <f t="shared" si="144"/>
        <v>50826</v>
      </c>
      <c r="AG195" s="189">
        <f t="shared" si="145"/>
        <v>84656.410802291502</v>
      </c>
      <c r="AH195" s="189">
        <f t="shared" si="146"/>
        <v>68571.173203280006</v>
      </c>
      <c r="AI195" s="206">
        <f t="shared" si="149"/>
        <v>4891.3943150684863</v>
      </c>
      <c r="AJ195" s="206">
        <f t="shared" si="147"/>
        <v>3756</v>
      </c>
      <c r="AK195" s="189">
        <f t="shared" si="147"/>
        <v>6953.5028042284976</v>
      </c>
      <c r="AL195" s="189">
        <f t="shared" si="147"/>
        <v>5664.2462318399921</v>
      </c>
      <c r="AM195" s="219">
        <f t="shared" si="148"/>
        <v>7.4794700262176869E-2</v>
      </c>
      <c r="AN195" s="214">
        <f t="shared" si="148"/>
        <v>7.3899185456262548E-2</v>
      </c>
      <c r="AO195" s="214">
        <f t="shared" si="148"/>
        <v>8.2137935430169201E-2</v>
      </c>
      <c r="AP195" s="214">
        <f t="shared" si="148"/>
        <v>8.2603898507734017E-2</v>
      </c>
    </row>
    <row r="196" spans="1:55" ht="15" customHeight="1" x14ac:dyDescent="0.25">
      <c r="A196" s="14"/>
      <c r="B196" s="62" t="s">
        <v>477</v>
      </c>
      <c r="C196" s="63"/>
      <c r="D196" s="124">
        <v>96559.336389391116</v>
      </c>
      <c r="E196" s="124">
        <v>88171.846153846156</v>
      </c>
      <c r="F196" s="124">
        <v>-8387.4902355449594</v>
      </c>
      <c r="G196" s="125">
        <f t="shared" si="137"/>
        <v>-9.5126626031058634E-2</v>
      </c>
      <c r="H196" s="126">
        <v>120818.97044770021</v>
      </c>
      <c r="I196" s="127">
        <v>112079.79446703385</v>
      </c>
      <c r="J196" s="124">
        <v>-8739.1759806663613</v>
      </c>
      <c r="K196" s="125">
        <f t="shared" si="138"/>
        <v>-7.7972805198503678E-2</v>
      </c>
      <c r="N196" s="183" t="s">
        <v>477</v>
      </c>
      <c r="O196" s="184"/>
      <c r="P196" s="185">
        <v>92548.817181334263</v>
      </c>
      <c r="Q196" s="185">
        <v>82112.307692307688</v>
      </c>
      <c r="R196" s="185">
        <v>-10436.509489026575</v>
      </c>
      <c r="S196" s="186">
        <v>-0.12710042845384883</v>
      </c>
      <c r="T196" s="201">
        <v>115169.93167939788</v>
      </c>
      <c r="U196" s="187">
        <v>103950.42700067692</v>
      </c>
      <c r="V196" s="185">
        <v>-11219.504678720958</v>
      </c>
      <c r="W196" s="188">
        <v>-0.10793129958617578</v>
      </c>
      <c r="Z196" s="209" t="s">
        <v>477</v>
      </c>
      <c r="AA196" s="212">
        <f t="shared" ref="AA196:AH196" si="150">AVERAGE(AA183:AA195)</f>
        <v>96559.336389391116</v>
      </c>
      <c r="AB196" s="212">
        <f t="shared" si="150"/>
        <v>88171.846153846156</v>
      </c>
      <c r="AC196" s="212">
        <f t="shared" si="150"/>
        <v>120818.97044770021</v>
      </c>
      <c r="AD196" s="212">
        <f t="shared" si="150"/>
        <v>112079.79446703385</v>
      </c>
      <c r="AE196" s="212">
        <f t="shared" si="150"/>
        <v>92548.817181334263</v>
      </c>
      <c r="AF196" s="212">
        <f t="shared" si="150"/>
        <v>82112.307692307688</v>
      </c>
      <c r="AG196" s="212">
        <f t="shared" si="150"/>
        <v>115169.93167939788</v>
      </c>
      <c r="AH196" s="212">
        <f t="shared" si="150"/>
        <v>103950.42700067692</v>
      </c>
      <c r="AI196" s="210">
        <f t="shared" si="149"/>
        <v>4010.5192080568522</v>
      </c>
      <c r="AJ196" s="210">
        <f t="shared" si="147"/>
        <v>6059.5384615384683</v>
      </c>
      <c r="AK196" s="204">
        <f t="shared" si="147"/>
        <v>5649.0387683023291</v>
      </c>
      <c r="AL196" s="204">
        <f t="shared" si="147"/>
        <v>8129.3674663569254</v>
      </c>
      <c r="AM196" s="220">
        <f t="shared" ref="AM196:AP196" si="151">AI196/AE196</f>
        <v>4.3334094699437338E-2</v>
      </c>
      <c r="AN196" s="215">
        <f t="shared" si="151"/>
        <v>7.3795739418807349E-2</v>
      </c>
      <c r="AO196" s="215">
        <f t="shared" si="151"/>
        <v>4.9049597285754531E-2</v>
      </c>
      <c r="AP196" s="215">
        <f t="shared" si="151"/>
        <v>7.8204271987300136E-2</v>
      </c>
      <c r="AQ196" s="14"/>
      <c r="AR196" s="14"/>
      <c r="AS196" s="14"/>
      <c r="AT196" s="14"/>
      <c r="AU196" s="14"/>
      <c r="AV196" s="14"/>
      <c r="AW196" s="14"/>
      <c r="AX196" s="14"/>
      <c r="AY196" s="14"/>
      <c r="AZ196" s="14"/>
      <c r="BA196" s="14"/>
      <c r="BB196" s="14"/>
      <c r="BC196" s="14"/>
    </row>
    <row r="197" spans="1:55" ht="15" customHeight="1" x14ac:dyDescent="0.25">
      <c r="AI197" s="158"/>
      <c r="AJ197" s="158"/>
      <c r="AK197" s="159"/>
      <c r="AL197" s="159"/>
    </row>
    <row r="198" spans="1:55" ht="15" customHeight="1" x14ac:dyDescent="0.25">
      <c r="AI198" s="158"/>
      <c r="AJ198" s="158"/>
      <c r="AK198" s="159"/>
      <c r="AL198" s="159"/>
      <c r="AM198" s="159"/>
      <c r="AN198" s="159"/>
      <c r="AO198" s="159"/>
      <c r="AP198" s="159"/>
    </row>
    <row r="199" spans="1:55" ht="15" customHeight="1" x14ac:dyDescent="0.25">
      <c r="AA199" s="528"/>
      <c r="AB199" s="47"/>
      <c r="AC199" s="47"/>
      <c r="AD199" s="47"/>
      <c r="AE199" s="47"/>
      <c r="AF199" s="47"/>
      <c r="AG199" s="47"/>
      <c r="AH199" s="47"/>
      <c r="AI199" s="156" t="s">
        <v>926</v>
      </c>
      <c r="AJ199" s="158"/>
      <c r="AK199" s="159"/>
      <c r="AL199" s="159"/>
      <c r="AM199" s="156" t="s">
        <v>927</v>
      </c>
      <c r="AN199" s="157"/>
      <c r="AO199" s="157"/>
      <c r="AP199" s="157"/>
    </row>
    <row r="200" spans="1:55" ht="15" customHeight="1" x14ac:dyDescent="0.25">
      <c r="B200" s="110" t="s">
        <v>51</v>
      </c>
      <c r="C200" s="302" t="s">
        <v>765</v>
      </c>
      <c r="D200" s="303"/>
      <c r="E200" s="303"/>
      <c r="F200" s="304"/>
      <c r="G200" s="303"/>
      <c r="H200" s="303" t="s">
        <v>435</v>
      </c>
      <c r="I200" s="303"/>
      <c r="J200" s="303"/>
      <c r="K200" s="305"/>
      <c r="N200" s="293"/>
      <c r="O200" s="297" t="s">
        <v>693</v>
      </c>
      <c r="P200" s="296"/>
      <c r="Q200" s="296"/>
      <c r="R200" s="296"/>
      <c r="S200" s="296"/>
      <c r="T200" s="296" t="s">
        <v>700</v>
      </c>
      <c r="U200" s="296"/>
      <c r="V200" s="296"/>
      <c r="W200" s="296"/>
      <c r="Z200" s="293" t="s">
        <v>51</v>
      </c>
      <c r="AA200" s="156" t="s">
        <v>691</v>
      </c>
      <c r="AB200" s="526"/>
      <c r="AC200" s="526"/>
      <c r="AD200" s="526"/>
      <c r="AE200" s="526"/>
      <c r="AF200" s="526"/>
      <c r="AG200" s="526"/>
      <c r="AH200" s="526"/>
      <c r="AI200" s="526" t="s">
        <v>693</v>
      </c>
      <c r="AJ200" s="526"/>
      <c r="AK200" s="526" t="s">
        <v>700</v>
      </c>
      <c r="AL200" s="526"/>
      <c r="AM200" s="526" t="s">
        <v>693</v>
      </c>
      <c r="AN200" s="526"/>
      <c r="AO200" s="526" t="s">
        <v>700</v>
      </c>
      <c r="AP200" s="526"/>
    </row>
    <row r="201" spans="1:55" ht="15" customHeight="1" x14ac:dyDescent="0.25">
      <c r="B201" s="111" t="s">
        <v>679</v>
      </c>
      <c r="C201" s="113" t="s">
        <v>935</v>
      </c>
      <c r="D201" s="112" t="s">
        <v>733</v>
      </c>
      <c r="E201" s="130" t="s">
        <v>934</v>
      </c>
      <c r="F201" s="130" t="s">
        <v>936</v>
      </c>
      <c r="G201" s="130" t="s">
        <v>734</v>
      </c>
      <c r="H201" s="131" t="s">
        <v>733</v>
      </c>
      <c r="I201" s="130" t="s">
        <v>934</v>
      </c>
      <c r="J201" s="130" t="s">
        <v>936</v>
      </c>
      <c r="K201" s="132" t="s">
        <v>735</v>
      </c>
      <c r="N201" s="160" t="s">
        <v>679</v>
      </c>
      <c r="O201" s="161" t="s">
        <v>697</v>
      </c>
      <c r="P201" s="161" t="s">
        <v>733</v>
      </c>
      <c r="Q201" s="162" t="s">
        <v>698</v>
      </c>
      <c r="R201" s="162" t="s">
        <v>699</v>
      </c>
      <c r="S201" s="162" t="s">
        <v>734</v>
      </c>
      <c r="T201" s="200" t="s">
        <v>733</v>
      </c>
      <c r="U201" s="162" t="s">
        <v>698</v>
      </c>
      <c r="V201" s="162" t="s">
        <v>699</v>
      </c>
      <c r="W201" s="163" t="s">
        <v>735</v>
      </c>
      <c r="Z201" s="205" t="s">
        <v>679</v>
      </c>
      <c r="AA201" s="271" t="s">
        <v>922</v>
      </c>
      <c r="AB201" s="271" t="s">
        <v>923</v>
      </c>
      <c r="AC201" s="271" t="s">
        <v>924</v>
      </c>
      <c r="AD201" s="271" t="s">
        <v>925</v>
      </c>
      <c r="AE201" s="272" t="s">
        <v>928</v>
      </c>
      <c r="AF201" s="272" t="s">
        <v>929</v>
      </c>
      <c r="AG201" s="272" t="s">
        <v>930</v>
      </c>
      <c r="AH201" s="272" t="s">
        <v>931</v>
      </c>
      <c r="AI201" s="273" t="s">
        <v>687</v>
      </c>
      <c r="AJ201" s="273" t="s">
        <v>688</v>
      </c>
      <c r="AK201" s="273" t="s">
        <v>689</v>
      </c>
      <c r="AL201" s="273" t="s">
        <v>690</v>
      </c>
      <c r="AM201" s="218" t="s">
        <v>687</v>
      </c>
      <c r="AN201" s="273" t="s">
        <v>688</v>
      </c>
      <c r="AO201" s="273" t="s">
        <v>689</v>
      </c>
      <c r="AP201" s="273" t="s">
        <v>690</v>
      </c>
    </row>
    <row r="202" spans="1:55" ht="15" customHeight="1" x14ac:dyDescent="0.25">
      <c r="A202" s="15">
        <v>900</v>
      </c>
      <c r="B202" s="56" t="s">
        <v>160</v>
      </c>
      <c r="C202" s="285">
        <v>25</v>
      </c>
      <c r="D202" s="286">
        <v>84443.210786528405</v>
      </c>
      <c r="E202" s="287">
        <v>61710</v>
      </c>
      <c r="F202" s="287">
        <v>-22733.210786528405</v>
      </c>
      <c r="G202" s="133">
        <f t="shared" ref="G202:G210" si="152">IFERROR(F202/E202,"--")</f>
        <v>-0.36838779430446289</v>
      </c>
      <c r="H202" s="276">
        <v>107571.06807926527</v>
      </c>
      <c r="I202" s="275">
        <v>82266.260183599996</v>
      </c>
      <c r="J202" s="287">
        <v>-25304.807895665275</v>
      </c>
      <c r="K202" s="133">
        <f t="shared" ref="K202:K210" si="153">IFERROR(J202/I202,"--")</f>
        <v>-0.30759642943766463</v>
      </c>
      <c r="N202" s="164" t="s">
        <v>160</v>
      </c>
      <c r="O202" s="288">
        <v>23</v>
      </c>
      <c r="P202" s="289">
        <v>78474.850000000006</v>
      </c>
      <c r="Q202" s="290">
        <v>57462</v>
      </c>
      <c r="R202" s="290">
        <v>-21012.850000000006</v>
      </c>
      <c r="S202" s="181">
        <v>-0.36568253802512973</v>
      </c>
      <c r="T202" s="291">
        <v>99784.045975440007</v>
      </c>
      <c r="U202" s="277">
        <v>76075.309853359999</v>
      </c>
      <c r="V202" s="290">
        <v>-23708.736122080008</v>
      </c>
      <c r="W202" s="182">
        <v>-0.31164823604110331</v>
      </c>
      <c r="Z202" s="292" t="s">
        <v>160</v>
      </c>
      <c r="AA202" s="189">
        <f t="shared" ref="AA202:AB209" si="154">IF($D202="-","-",IF($P202="-","-",D202))</f>
        <v>84443.210786528405</v>
      </c>
      <c r="AB202" s="189">
        <f t="shared" si="154"/>
        <v>61710</v>
      </c>
      <c r="AC202" s="189">
        <f t="shared" ref="AC202:AD209" si="155">IF($D202="-","-",IF($P202="-","-",H202))</f>
        <v>107571.06807926527</v>
      </c>
      <c r="AD202" s="189">
        <f t="shared" si="155"/>
        <v>82266.260183599996</v>
      </c>
      <c r="AE202" s="189">
        <f t="shared" ref="AE202:AF209" si="156">IF($D202="-","-",IF($P202="-","-",P202))</f>
        <v>78474.850000000006</v>
      </c>
      <c r="AF202" s="189">
        <f t="shared" si="156"/>
        <v>57462</v>
      </c>
      <c r="AG202" s="189">
        <f t="shared" ref="AG202:AH209" si="157">IF($D202="-","-",IF($P202="-","-",T202))</f>
        <v>99784.045975440007</v>
      </c>
      <c r="AH202" s="189">
        <f t="shared" si="157"/>
        <v>76075.309853359999</v>
      </c>
      <c r="AI202" s="206">
        <f t="shared" ref="AI202:AL210" si="158">IFERROR(AA202-AE202,"-")</f>
        <v>5968.3607865283993</v>
      </c>
      <c r="AJ202" s="206">
        <f t="shared" si="158"/>
        <v>4248</v>
      </c>
      <c r="AK202" s="189">
        <f t="shared" si="158"/>
        <v>7787.0221038252639</v>
      </c>
      <c r="AL202" s="189">
        <f t="shared" si="158"/>
        <v>6190.9503302399971</v>
      </c>
      <c r="AM202" s="219">
        <f t="shared" ref="AM202:AP209" si="159">IFERROR(AI202/AE202,"-")</f>
        <v>7.6054440199992718E-2</v>
      </c>
      <c r="AN202" s="214">
        <f t="shared" si="159"/>
        <v>7.392711705126867E-2</v>
      </c>
      <c r="AO202" s="214">
        <f t="shared" si="159"/>
        <v>7.8038748857125861E-2</v>
      </c>
      <c r="AP202" s="214">
        <f t="shared" si="159"/>
        <v>8.1379232528575277E-2</v>
      </c>
    </row>
    <row r="203" spans="1:55" ht="15" customHeight="1" x14ac:dyDescent="0.25">
      <c r="A203" s="15">
        <v>901</v>
      </c>
      <c r="B203" s="56" t="s">
        <v>161</v>
      </c>
      <c r="C203" s="285">
        <v>9</v>
      </c>
      <c r="D203" s="286">
        <v>83021.619448740239</v>
      </c>
      <c r="E203" s="287">
        <v>61710</v>
      </c>
      <c r="F203" s="287">
        <v>-21311.619448740239</v>
      </c>
      <c r="G203" s="133">
        <f t="shared" si="152"/>
        <v>-0.3453511497122061</v>
      </c>
      <c r="H203" s="276">
        <v>101486.50121215818</v>
      </c>
      <c r="I203" s="275">
        <v>82266.260183599996</v>
      </c>
      <c r="J203" s="287">
        <v>-19220.241028558186</v>
      </c>
      <c r="K203" s="133">
        <f t="shared" si="153"/>
        <v>-0.23363455425909582</v>
      </c>
      <c r="N203" s="164" t="s">
        <v>161</v>
      </c>
      <c r="O203" s="288">
        <v>10</v>
      </c>
      <c r="P203" s="289">
        <v>72488.404931506855</v>
      </c>
      <c r="Q203" s="290">
        <v>57462</v>
      </c>
      <c r="R203" s="290">
        <v>-15026.404931506855</v>
      </c>
      <c r="S203" s="181">
        <v>-0.26150159986611771</v>
      </c>
      <c r="T203" s="291">
        <v>90383.779924774455</v>
      </c>
      <c r="U203" s="277">
        <v>76075.309853359999</v>
      </c>
      <c r="V203" s="290">
        <v>-14308.470071414456</v>
      </c>
      <c r="W203" s="182">
        <v>-0.18808296803516072</v>
      </c>
      <c r="Z203" s="292" t="s">
        <v>161</v>
      </c>
      <c r="AA203" s="189">
        <f t="shared" si="154"/>
        <v>83021.619448740239</v>
      </c>
      <c r="AB203" s="189">
        <f t="shared" si="154"/>
        <v>61710</v>
      </c>
      <c r="AC203" s="189">
        <f t="shared" si="155"/>
        <v>101486.50121215818</v>
      </c>
      <c r="AD203" s="189">
        <f t="shared" si="155"/>
        <v>82266.260183599996</v>
      </c>
      <c r="AE203" s="189">
        <f t="shared" si="156"/>
        <v>72488.404931506855</v>
      </c>
      <c r="AF203" s="189">
        <f t="shared" si="156"/>
        <v>57462</v>
      </c>
      <c r="AG203" s="189">
        <f t="shared" si="157"/>
        <v>90383.779924774455</v>
      </c>
      <c r="AH203" s="189">
        <f t="shared" si="157"/>
        <v>76075.309853359999</v>
      </c>
      <c r="AI203" s="206">
        <f t="shared" si="158"/>
        <v>10533.214517233384</v>
      </c>
      <c r="AJ203" s="206">
        <f t="shared" si="158"/>
        <v>4248</v>
      </c>
      <c r="AK203" s="189">
        <f t="shared" si="158"/>
        <v>11102.721287383727</v>
      </c>
      <c r="AL203" s="189">
        <f t="shared" si="158"/>
        <v>6190.9503302399971</v>
      </c>
      <c r="AM203" s="219">
        <f t="shared" si="159"/>
        <v>0.14530895702817645</v>
      </c>
      <c r="AN203" s="214">
        <f t="shared" si="159"/>
        <v>7.392711705126867E-2</v>
      </c>
      <c r="AO203" s="214">
        <f t="shared" si="159"/>
        <v>0.12283975395391092</v>
      </c>
      <c r="AP203" s="214">
        <f t="shared" si="159"/>
        <v>8.1379232528575277E-2</v>
      </c>
    </row>
    <row r="204" spans="1:55" ht="15" customHeight="1" x14ac:dyDescent="0.25">
      <c r="A204" s="15">
        <v>903</v>
      </c>
      <c r="B204" s="56" t="s">
        <v>162</v>
      </c>
      <c r="C204" s="285">
        <v>17</v>
      </c>
      <c r="D204" s="286">
        <v>69321.850379084965</v>
      </c>
      <c r="E204" s="287">
        <v>57306</v>
      </c>
      <c r="F204" s="287">
        <v>-12015.850379084965</v>
      </c>
      <c r="G204" s="133">
        <f t="shared" si="152"/>
        <v>-0.20967874880614534</v>
      </c>
      <c r="H204" s="276">
        <v>90199.530541461427</v>
      </c>
      <c r="I204" s="275">
        <v>77304.444434959994</v>
      </c>
      <c r="J204" s="287">
        <v>-12895.086106501432</v>
      </c>
      <c r="K204" s="133">
        <f t="shared" si="153"/>
        <v>-0.16680911687232547</v>
      </c>
      <c r="N204" s="164" t="s">
        <v>162</v>
      </c>
      <c r="O204" s="288">
        <v>18</v>
      </c>
      <c r="P204" s="289">
        <v>60056.913697108896</v>
      </c>
      <c r="Q204" s="290">
        <v>53364</v>
      </c>
      <c r="R204" s="290">
        <v>-6692.9136971088956</v>
      </c>
      <c r="S204" s="181">
        <v>-0.1254200153119874</v>
      </c>
      <c r="T204" s="291">
        <v>78812.035817572178</v>
      </c>
      <c r="U204" s="277">
        <v>71441.200149919998</v>
      </c>
      <c r="V204" s="290">
        <v>-7370.8356676521798</v>
      </c>
      <c r="W204" s="182">
        <v>-0.10317345806319624</v>
      </c>
      <c r="Z204" s="292" t="s">
        <v>162</v>
      </c>
      <c r="AA204" s="189">
        <f t="shared" si="154"/>
        <v>69321.850379084965</v>
      </c>
      <c r="AB204" s="189">
        <f t="shared" si="154"/>
        <v>57306</v>
      </c>
      <c r="AC204" s="189">
        <f t="shared" si="155"/>
        <v>90199.530541461427</v>
      </c>
      <c r="AD204" s="189">
        <f t="shared" si="155"/>
        <v>77304.444434959994</v>
      </c>
      <c r="AE204" s="189">
        <f t="shared" si="156"/>
        <v>60056.913697108896</v>
      </c>
      <c r="AF204" s="189">
        <f t="shared" si="156"/>
        <v>53364</v>
      </c>
      <c r="AG204" s="189">
        <f t="shared" si="157"/>
        <v>78812.035817572178</v>
      </c>
      <c r="AH204" s="189">
        <f t="shared" si="157"/>
        <v>71441.200149919998</v>
      </c>
      <c r="AI204" s="206">
        <f t="shared" si="158"/>
        <v>9264.9366819760689</v>
      </c>
      <c r="AJ204" s="206">
        <f t="shared" si="158"/>
        <v>3942</v>
      </c>
      <c r="AK204" s="189">
        <f t="shared" si="158"/>
        <v>11387.494723889249</v>
      </c>
      <c r="AL204" s="189">
        <f t="shared" si="158"/>
        <v>5863.2442850399966</v>
      </c>
      <c r="AM204" s="219">
        <f t="shared" si="159"/>
        <v>0.15426927745076713</v>
      </c>
      <c r="AN204" s="214">
        <f t="shared" si="159"/>
        <v>7.3870024735776932E-2</v>
      </c>
      <c r="AO204" s="214">
        <f t="shared" si="159"/>
        <v>0.1444892852437934</v>
      </c>
      <c r="AP204" s="214">
        <f t="shared" si="159"/>
        <v>8.207090968147128E-2</v>
      </c>
    </row>
    <row r="205" spans="1:55" ht="15" customHeight="1" x14ac:dyDescent="0.25">
      <c r="A205" s="15">
        <v>904</v>
      </c>
      <c r="B205" s="56" t="s">
        <v>163</v>
      </c>
      <c r="C205" s="285">
        <v>5</v>
      </c>
      <c r="D205" s="286">
        <v>57801.593999999997</v>
      </c>
      <c r="E205" s="287">
        <v>43554</v>
      </c>
      <c r="F205" s="287">
        <v>-14247.593999999997</v>
      </c>
      <c r="G205" s="133">
        <f t="shared" si="152"/>
        <v>-0.32712481057996962</v>
      </c>
      <c r="H205" s="276">
        <v>73133.593999999997</v>
      </c>
      <c r="I205" s="275">
        <v>61810.600162640003</v>
      </c>
      <c r="J205" s="287">
        <v>-11322.993837359994</v>
      </c>
      <c r="K205" s="133">
        <f t="shared" si="153"/>
        <v>-0.18318854383497668</v>
      </c>
      <c r="N205" s="164" t="s">
        <v>163</v>
      </c>
      <c r="O205" s="288">
        <v>5</v>
      </c>
      <c r="P205" s="289">
        <v>52995.75</v>
      </c>
      <c r="Q205" s="290">
        <v>40560</v>
      </c>
      <c r="R205" s="290">
        <v>-12435.75</v>
      </c>
      <c r="S205" s="181">
        <v>-0.30660133136094675</v>
      </c>
      <c r="T205" s="291">
        <v>66231.75</v>
      </c>
      <c r="U205" s="277">
        <v>56962.1516768</v>
      </c>
      <c r="V205" s="290">
        <v>-9269.5983231999999</v>
      </c>
      <c r="W205" s="182">
        <v>-0.16273258734668544</v>
      </c>
      <c r="Z205" s="292" t="s">
        <v>163</v>
      </c>
      <c r="AA205" s="189">
        <f t="shared" si="154"/>
        <v>57801.593999999997</v>
      </c>
      <c r="AB205" s="189">
        <f t="shared" si="154"/>
        <v>43554</v>
      </c>
      <c r="AC205" s="189">
        <f t="shared" si="155"/>
        <v>73133.593999999997</v>
      </c>
      <c r="AD205" s="189">
        <f t="shared" si="155"/>
        <v>61810.600162640003</v>
      </c>
      <c r="AE205" s="189">
        <f t="shared" si="156"/>
        <v>52995.75</v>
      </c>
      <c r="AF205" s="189">
        <f t="shared" si="156"/>
        <v>40560</v>
      </c>
      <c r="AG205" s="189">
        <f t="shared" si="157"/>
        <v>66231.75</v>
      </c>
      <c r="AH205" s="189">
        <f t="shared" si="157"/>
        <v>56962.1516768</v>
      </c>
      <c r="AI205" s="206">
        <f t="shared" si="158"/>
        <v>4805.8439999999973</v>
      </c>
      <c r="AJ205" s="206">
        <f t="shared" si="158"/>
        <v>2994</v>
      </c>
      <c r="AK205" s="189">
        <f t="shared" si="158"/>
        <v>6901.8439999999973</v>
      </c>
      <c r="AL205" s="189">
        <f t="shared" si="158"/>
        <v>4848.4484858400028</v>
      </c>
      <c r="AM205" s="219">
        <f t="shared" si="159"/>
        <v>9.0683573682795268E-2</v>
      </c>
      <c r="AN205" s="214">
        <f t="shared" si="159"/>
        <v>7.3816568047337272E-2</v>
      </c>
      <c r="AO205" s="214">
        <f t="shared" si="159"/>
        <v>0.10420748357094592</v>
      </c>
      <c r="AP205" s="214">
        <f t="shared" si="159"/>
        <v>8.5117017934115677E-2</v>
      </c>
    </row>
    <row r="206" spans="1:55" ht="15" customHeight="1" x14ac:dyDescent="0.25">
      <c r="A206" s="15">
        <v>906</v>
      </c>
      <c r="B206" s="56" t="s">
        <v>164</v>
      </c>
      <c r="C206" s="285">
        <v>9</v>
      </c>
      <c r="D206" s="286">
        <v>66432.75</v>
      </c>
      <c r="E206" s="287">
        <v>54582</v>
      </c>
      <c r="F206" s="287">
        <v>-11850.75</v>
      </c>
      <c r="G206" s="133">
        <f t="shared" si="152"/>
        <v>-0.21711828075189624</v>
      </c>
      <c r="H206" s="276">
        <v>88687.5363392</v>
      </c>
      <c r="I206" s="275">
        <v>74235.419435119999</v>
      </c>
      <c r="J206" s="287">
        <v>-14452.116904080001</v>
      </c>
      <c r="K206" s="133">
        <f t="shared" si="153"/>
        <v>-0.1946795345678731</v>
      </c>
      <c r="N206" s="164" t="s">
        <v>164</v>
      </c>
      <c r="O206" s="288">
        <v>9</v>
      </c>
      <c r="P206" s="289">
        <v>66794.25</v>
      </c>
      <c r="Q206" s="290">
        <v>50826</v>
      </c>
      <c r="R206" s="290">
        <v>-15968.25</v>
      </c>
      <c r="S206" s="181">
        <v>-0.31417483177901073</v>
      </c>
      <c r="T206" s="291">
        <v>87035.541713535858</v>
      </c>
      <c r="U206" s="277">
        <v>68571.173203280006</v>
      </c>
      <c r="V206" s="290">
        <v>-18464.368510255852</v>
      </c>
      <c r="W206" s="182">
        <v>-0.26927304357937737</v>
      </c>
      <c r="Z206" s="292" t="s">
        <v>164</v>
      </c>
      <c r="AA206" s="189">
        <f t="shared" si="154"/>
        <v>66432.75</v>
      </c>
      <c r="AB206" s="189">
        <f t="shared" si="154"/>
        <v>54582</v>
      </c>
      <c r="AC206" s="189">
        <f t="shared" si="155"/>
        <v>88687.5363392</v>
      </c>
      <c r="AD206" s="189">
        <f t="shared" si="155"/>
        <v>74235.419435119999</v>
      </c>
      <c r="AE206" s="189">
        <f t="shared" si="156"/>
        <v>66794.25</v>
      </c>
      <c r="AF206" s="189">
        <f t="shared" si="156"/>
        <v>50826</v>
      </c>
      <c r="AG206" s="189">
        <f t="shared" si="157"/>
        <v>87035.541713535858</v>
      </c>
      <c r="AH206" s="189">
        <f t="shared" si="157"/>
        <v>68571.173203280006</v>
      </c>
      <c r="AI206" s="206">
        <f t="shared" si="158"/>
        <v>-361.5</v>
      </c>
      <c r="AJ206" s="206">
        <f t="shared" si="158"/>
        <v>3756</v>
      </c>
      <c r="AK206" s="189">
        <f t="shared" si="158"/>
        <v>1651.9946256641415</v>
      </c>
      <c r="AL206" s="189">
        <f t="shared" si="158"/>
        <v>5664.2462318399921</v>
      </c>
      <c r="AM206" s="219">
        <f t="shared" si="159"/>
        <v>-5.4121425122671488E-3</v>
      </c>
      <c r="AN206" s="214">
        <f t="shared" si="159"/>
        <v>7.3899185456262548E-2</v>
      </c>
      <c r="AO206" s="214">
        <f t="shared" si="159"/>
        <v>1.8980689878411151E-2</v>
      </c>
      <c r="AP206" s="214">
        <f t="shared" si="159"/>
        <v>8.2603898507734017E-2</v>
      </c>
    </row>
    <row r="207" spans="1:55" ht="15" customHeight="1" x14ac:dyDescent="0.25">
      <c r="A207" s="15">
        <v>910</v>
      </c>
      <c r="B207" s="56" t="s">
        <v>165</v>
      </c>
      <c r="C207" s="285">
        <v>16</v>
      </c>
      <c r="D207" s="286">
        <v>69590.461685304996</v>
      </c>
      <c r="E207" s="287">
        <v>54240</v>
      </c>
      <c r="F207" s="287">
        <v>-15350.461685304996</v>
      </c>
      <c r="G207" s="133">
        <f t="shared" si="152"/>
        <v>-0.28300998682346967</v>
      </c>
      <c r="H207" s="276">
        <v>91368.618999317347</v>
      </c>
      <c r="I207" s="275">
        <v>73850.101318400004</v>
      </c>
      <c r="J207" s="287">
        <v>-17518.517680917343</v>
      </c>
      <c r="K207" s="133">
        <f t="shared" si="153"/>
        <v>-0.23721724639736608</v>
      </c>
      <c r="N207" s="164" t="s">
        <v>165</v>
      </c>
      <c r="O207" s="288">
        <v>13</v>
      </c>
      <c r="P207" s="289">
        <v>69903.625878735184</v>
      </c>
      <c r="Q207" s="290">
        <v>50514</v>
      </c>
      <c r="R207" s="290">
        <v>-19389.625878735184</v>
      </c>
      <c r="S207" s="181">
        <v>-0.38384657478590456</v>
      </c>
      <c r="T207" s="291">
        <v>89723.947783830386</v>
      </c>
      <c r="U207" s="277">
        <v>68218.356651919996</v>
      </c>
      <c r="V207" s="290">
        <v>-21505.591131910391</v>
      </c>
      <c r="W207" s="182">
        <v>-0.31524639682602379</v>
      </c>
      <c r="Z207" s="292" t="s">
        <v>165</v>
      </c>
      <c r="AA207" s="189">
        <f t="shared" si="154"/>
        <v>69590.461685304996</v>
      </c>
      <c r="AB207" s="189">
        <f t="shared" si="154"/>
        <v>54240</v>
      </c>
      <c r="AC207" s="189">
        <f t="shared" si="155"/>
        <v>91368.618999317347</v>
      </c>
      <c r="AD207" s="189">
        <f t="shared" si="155"/>
        <v>73850.101318400004</v>
      </c>
      <c r="AE207" s="189">
        <f t="shared" si="156"/>
        <v>69903.625878735184</v>
      </c>
      <c r="AF207" s="189">
        <f t="shared" si="156"/>
        <v>50514</v>
      </c>
      <c r="AG207" s="189">
        <f t="shared" si="157"/>
        <v>89723.947783830386</v>
      </c>
      <c r="AH207" s="189">
        <f t="shared" si="157"/>
        <v>68218.356651919996</v>
      </c>
      <c r="AI207" s="206">
        <f t="shared" si="158"/>
        <v>-313.16419343018788</v>
      </c>
      <c r="AJ207" s="206">
        <f t="shared" si="158"/>
        <v>3726</v>
      </c>
      <c r="AK207" s="189">
        <f t="shared" si="158"/>
        <v>1644.6712154869601</v>
      </c>
      <c r="AL207" s="189">
        <f t="shared" si="158"/>
        <v>5631.7446664800082</v>
      </c>
      <c r="AM207" s="219">
        <f t="shared" si="159"/>
        <v>-4.4799420558448173E-3</v>
      </c>
      <c r="AN207" s="214">
        <f t="shared" si="159"/>
        <v>7.3761729421546504E-2</v>
      </c>
      <c r="AO207" s="214">
        <f t="shared" si="159"/>
        <v>1.8330348319597175E-2</v>
      </c>
      <c r="AP207" s="214">
        <f t="shared" si="159"/>
        <v>8.255468092284371E-2</v>
      </c>
    </row>
    <row r="208" spans="1:55" ht="15" customHeight="1" x14ac:dyDescent="0.25">
      <c r="A208" s="15">
        <v>911</v>
      </c>
      <c r="B208" s="56" t="s">
        <v>166</v>
      </c>
      <c r="C208" s="285">
        <v>7</v>
      </c>
      <c r="D208" s="286">
        <v>64032.800000000003</v>
      </c>
      <c r="E208" s="287">
        <v>67278</v>
      </c>
      <c r="F208" s="287">
        <v>3245.1999999999971</v>
      </c>
      <c r="G208" s="133">
        <f t="shared" si="152"/>
        <v>4.8235678825173121E-2</v>
      </c>
      <c r="H208" s="276">
        <v>86475.768726048002</v>
      </c>
      <c r="I208" s="275">
        <v>88539.509522480002</v>
      </c>
      <c r="J208" s="287">
        <v>2063.7407964320009</v>
      </c>
      <c r="K208" s="133">
        <f t="shared" si="153"/>
        <v>2.3308699218714569E-2</v>
      </c>
      <c r="N208" s="164" t="s">
        <v>166</v>
      </c>
      <c r="O208" s="288">
        <v>7</v>
      </c>
      <c r="P208" s="289">
        <v>67870.44</v>
      </c>
      <c r="Q208" s="290">
        <v>56844</v>
      </c>
      <c r="R208" s="290">
        <v>-11026.440000000002</v>
      </c>
      <c r="S208" s="181">
        <v>-0.19397720075997471</v>
      </c>
      <c r="T208" s="291">
        <v>89020.103211840003</v>
      </c>
      <c r="U208" s="277">
        <v>75376.461684320006</v>
      </c>
      <c r="V208" s="290">
        <v>-13643.641527519998</v>
      </c>
      <c r="W208" s="182">
        <v>-0.18100665940861194</v>
      </c>
      <c r="Z208" s="292" t="s">
        <v>166</v>
      </c>
      <c r="AA208" s="189">
        <f t="shared" si="154"/>
        <v>64032.800000000003</v>
      </c>
      <c r="AB208" s="189">
        <f t="shared" si="154"/>
        <v>67278</v>
      </c>
      <c r="AC208" s="189">
        <f t="shared" si="155"/>
        <v>86475.768726048002</v>
      </c>
      <c r="AD208" s="189">
        <f t="shared" si="155"/>
        <v>88539.509522480002</v>
      </c>
      <c r="AE208" s="189">
        <f t="shared" si="156"/>
        <v>67870.44</v>
      </c>
      <c r="AF208" s="189">
        <f t="shared" si="156"/>
        <v>56844</v>
      </c>
      <c r="AG208" s="189">
        <f t="shared" si="157"/>
        <v>89020.103211840003</v>
      </c>
      <c r="AH208" s="189">
        <f t="shared" si="157"/>
        <v>75376.461684320006</v>
      </c>
      <c r="AI208" s="206">
        <f t="shared" si="158"/>
        <v>-3837.6399999999994</v>
      </c>
      <c r="AJ208" s="206">
        <f t="shared" si="158"/>
        <v>10434</v>
      </c>
      <c r="AK208" s="189">
        <f t="shared" si="158"/>
        <v>-2544.3344857920019</v>
      </c>
      <c r="AL208" s="189">
        <f t="shared" si="158"/>
        <v>13163.047838159997</v>
      </c>
      <c r="AM208" s="219">
        <f t="shared" si="159"/>
        <v>-5.6543614569170307E-2</v>
      </c>
      <c r="AN208" s="214">
        <f t="shared" si="159"/>
        <v>0.18355499261135741</v>
      </c>
      <c r="AO208" s="214">
        <f t="shared" si="159"/>
        <v>-2.8581571959507637E-2</v>
      </c>
      <c r="AP208" s="214">
        <f t="shared" si="159"/>
        <v>0.17463074737160561</v>
      </c>
    </row>
    <row r="209" spans="1:42" ht="15" customHeight="1" x14ac:dyDescent="0.25">
      <c r="A209" s="15">
        <v>912</v>
      </c>
      <c r="B209" s="56" t="s">
        <v>167</v>
      </c>
      <c r="C209" s="285">
        <v>7</v>
      </c>
      <c r="D209" s="286">
        <v>98075.876653712214</v>
      </c>
      <c r="E209" s="287">
        <v>82992</v>
      </c>
      <c r="F209" s="287">
        <v>-15083.876653712214</v>
      </c>
      <c r="G209" s="133">
        <f t="shared" si="152"/>
        <v>-0.18175097182514235</v>
      </c>
      <c r="H209" s="276">
        <v>116578.63665371221</v>
      </c>
      <c r="I209" s="275">
        <v>106243.86299071999</v>
      </c>
      <c r="J209" s="287">
        <v>-10334.773662992215</v>
      </c>
      <c r="K209" s="133">
        <f t="shared" si="153"/>
        <v>-9.7274076563790973E-2</v>
      </c>
      <c r="N209" s="164" t="s">
        <v>167</v>
      </c>
      <c r="O209" s="288">
        <v>6</v>
      </c>
      <c r="P209" s="289">
        <v>104930.4073275862</v>
      </c>
      <c r="Q209" s="290">
        <v>77286</v>
      </c>
      <c r="R209" s="290">
        <v>-27644.407327586203</v>
      </c>
      <c r="S209" s="181">
        <v>-0.35768971518239012</v>
      </c>
      <c r="T209" s="291">
        <v>120872.41768375058</v>
      </c>
      <c r="U209" s="277">
        <v>98492.730732080003</v>
      </c>
      <c r="V209" s="290">
        <v>-22379.686951670577</v>
      </c>
      <c r="W209" s="182">
        <v>-0.22722171256016668</v>
      </c>
      <c r="Z209" s="292" t="s">
        <v>167</v>
      </c>
      <c r="AA209" s="189">
        <f t="shared" si="154"/>
        <v>98075.876653712214</v>
      </c>
      <c r="AB209" s="189">
        <f t="shared" si="154"/>
        <v>82992</v>
      </c>
      <c r="AC209" s="189">
        <f t="shared" si="155"/>
        <v>116578.63665371221</v>
      </c>
      <c r="AD209" s="189">
        <f t="shared" si="155"/>
        <v>106243.86299071999</v>
      </c>
      <c r="AE209" s="189">
        <f t="shared" si="156"/>
        <v>104930.4073275862</v>
      </c>
      <c r="AF209" s="189">
        <f t="shared" si="156"/>
        <v>77286</v>
      </c>
      <c r="AG209" s="189">
        <f t="shared" si="157"/>
        <v>120872.41768375058</v>
      </c>
      <c r="AH209" s="189">
        <f t="shared" si="157"/>
        <v>98492.730732080003</v>
      </c>
      <c r="AI209" s="206">
        <f t="shared" si="158"/>
        <v>-6854.5306738739891</v>
      </c>
      <c r="AJ209" s="206">
        <f t="shared" si="158"/>
        <v>5706</v>
      </c>
      <c r="AK209" s="189">
        <f t="shared" si="158"/>
        <v>-4293.7810300383717</v>
      </c>
      <c r="AL209" s="189">
        <f t="shared" si="158"/>
        <v>7751.1322586399911</v>
      </c>
      <c r="AM209" s="219">
        <f t="shared" si="159"/>
        <v>-6.5324540792780605E-2</v>
      </c>
      <c r="AN209" s="214">
        <f t="shared" si="159"/>
        <v>7.38296716093471E-2</v>
      </c>
      <c r="AO209" s="214">
        <f t="shared" si="159"/>
        <v>-3.552324932618274E-2</v>
      </c>
      <c r="AP209" s="214">
        <f t="shared" si="159"/>
        <v>7.869750590756415E-2</v>
      </c>
    </row>
    <row r="210" spans="1:42" ht="15" customHeight="1" x14ac:dyDescent="0.25">
      <c r="B210" s="62" t="s">
        <v>477</v>
      </c>
      <c r="C210" s="63"/>
      <c r="D210" s="124">
        <v>74090.020369171354</v>
      </c>
      <c r="E210" s="124">
        <v>60421.5</v>
      </c>
      <c r="F210" s="124">
        <v>-13668.520369171354</v>
      </c>
      <c r="G210" s="125">
        <f t="shared" si="152"/>
        <v>-0.22621948096573827</v>
      </c>
      <c r="H210" s="126">
        <v>94437.65681889531</v>
      </c>
      <c r="I210" s="127">
        <v>80814.557278939988</v>
      </c>
      <c r="J210" s="124">
        <v>-13623.099539955321</v>
      </c>
      <c r="K210" s="125">
        <f t="shared" si="153"/>
        <v>-0.16857234635257301</v>
      </c>
      <c r="N210" s="183" t="s">
        <v>477</v>
      </c>
      <c r="O210" s="184"/>
      <c r="P210" s="185">
        <v>71689.330229367159</v>
      </c>
      <c r="Q210" s="185">
        <v>55539.75</v>
      </c>
      <c r="R210" s="185">
        <v>-16149.580229367159</v>
      </c>
      <c r="S210" s="186">
        <v>-0.29077516966437839</v>
      </c>
      <c r="T210" s="201">
        <v>90232.952763842943</v>
      </c>
      <c r="U210" s="187">
        <v>73901.586725630012</v>
      </c>
      <c r="V210" s="185">
        <v>-16331.366038212931</v>
      </c>
      <c r="W210" s="188">
        <v>-0.22098802964604014</v>
      </c>
      <c r="Z210" s="209" t="s">
        <v>477</v>
      </c>
      <c r="AA210" s="212">
        <f t="shared" ref="AA210:AH210" si="160">AVERAGE(AA202:AA209)</f>
        <v>74090.020369171354</v>
      </c>
      <c r="AB210" s="212">
        <f t="shared" si="160"/>
        <v>60421.5</v>
      </c>
      <c r="AC210" s="212">
        <f t="shared" si="160"/>
        <v>94437.65681889531</v>
      </c>
      <c r="AD210" s="212">
        <f t="shared" si="160"/>
        <v>80814.557278939988</v>
      </c>
      <c r="AE210" s="212">
        <f t="shared" si="160"/>
        <v>71689.330229367159</v>
      </c>
      <c r="AF210" s="212">
        <f t="shared" si="160"/>
        <v>55539.75</v>
      </c>
      <c r="AG210" s="212">
        <f t="shared" si="160"/>
        <v>90232.952763842943</v>
      </c>
      <c r="AH210" s="212">
        <f t="shared" si="160"/>
        <v>73901.586725630012</v>
      </c>
      <c r="AI210" s="210">
        <f t="shared" si="158"/>
        <v>2400.6901398041955</v>
      </c>
      <c r="AJ210" s="210">
        <f t="shared" si="158"/>
        <v>4881.75</v>
      </c>
      <c r="AK210" s="204">
        <f t="shared" si="158"/>
        <v>4204.704055052367</v>
      </c>
      <c r="AL210" s="204">
        <f t="shared" si="158"/>
        <v>6912.9705533099768</v>
      </c>
      <c r="AM210" s="220">
        <f t="shared" ref="AM210:AP210" si="161">AI210/AE210</f>
        <v>3.3487412033607833E-2</v>
      </c>
      <c r="AN210" s="215">
        <f t="shared" si="161"/>
        <v>8.7896506556115209E-2</v>
      </c>
      <c r="AO210" s="215">
        <f t="shared" si="161"/>
        <v>4.6598320527722163E-2</v>
      </c>
      <c r="AP210" s="215">
        <f t="shared" si="161"/>
        <v>9.3542924578539133E-2</v>
      </c>
    </row>
    <row r="211" spans="1:42" ht="15" customHeight="1" x14ac:dyDescent="0.25">
      <c r="AI211" s="158"/>
      <c r="AJ211" s="158"/>
      <c r="AK211" s="159"/>
      <c r="AL211" s="159"/>
    </row>
    <row r="212" spans="1:42" ht="15" customHeight="1" x14ac:dyDescent="0.25">
      <c r="AI212" s="158"/>
      <c r="AJ212" s="158"/>
      <c r="AK212" s="159"/>
      <c r="AL212" s="159"/>
      <c r="AM212" s="159"/>
      <c r="AN212" s="159"/>
      <c r="AO212" s="159"/>
      <c r="AP212" s="159"/>
    </row>
    <row r="213" spans="1:42" ht="15" customHeight="1" x14ac:dyDescent="0.25">
      <c r="AA213" s="528"/>
      <c r="AB213" s="47"/>
      <c r="AC213" s="47"/>
      <c r="AD213" s="47"/>
      <c r="AE213" s="47"/>
      <c r="AF213" s="47"/>
      <c r="AG213" s="47"/>
      <c r="AH213" s="47"/>
      <c r="AI213" s="156" t="s">
        <v>926</v>
      </c>
      <c r="AJ213" s="158"/>
      <c r="AK213" s="159"/>
      <c r="AL213" s="159"/>
      <c r="AM213" s="156" t="s">
        <v>927</v>
      </c>
      <c r="AN213" s="157"/>
      <c r="AO213" s="157"/>
      <c r="AP213" s="157"/>
    </row>
    <row r="214" spans="1:42" ht="15" customHeight="1" x14ac:dyDescent="0.25">
      <c r="B214" s="110" t="s">
        <v>7</v>
      </c>
      <c r="C214" s="302" t="s">
        <v>765</v>
      </c>
      <c r="D214" s="303"/>
      <c r="E214" s="303"/>
      <c r="F214" s="304"/>
      <c r="G214" s="303"/>
      <c r="H214" s="303" t="s">
        <v>435</v>
      </c>
      <c r="I214" s="303"/>
      <c r="J214" s="303"/>
      <c r="K214" s="305"/>
      <c r="N214" s="293"/>
      <c r="O214" s="297" t="s">
        <v>693</v>
      </c>
      <c r="P214" s="296"/>
      <c r="Q214" s="296"/>
      <c r="R214" s="296"/>
      <c r="S214" s="296"/>
      <c r="T214" s="296" t="s">
        <v>700</v>
      </c>
      <c r="U214" s="296"/>
      <c r="V214" s="296"/>
      <c r="W214" s="296"/>
      <c r="Z214" s="293" t="s">
        <v>7</v>
      </c>
      <c r="AA214" s="156" t="s">
        <v>691</v>
      </c>
      <c r="AB214" s="526"/>
      <c r="AC214" s="526"/>
      <c r="AD214" s="526"/>
      <c r="AE214" s="526"/>
      <c r="AF214" s="526"/>
      <c r="AG214" s="526"/>
      <c r="AH214" s="526"/>
      <c r="AI214" s="526" t="s">
        <v>693</v>
      </c>
      <c r="AJ214" s="526"/>
      <c r="AK214" s="526" t="s">
        <v>700</v>
      </c>
      <c r="AL214" s="526"/>
      <c r="AM214" s="526" t="s">
        <v>693</v>
      </c>
      <c r="AN214" s="526"/>
      <c r="AO214" s="526" t="s">
        <v>700</v>
      </c>
      <c r="AP214" s="526"/>
    </row>
    <row r="215" spans="1:42" ht="15" customHeight="1" x14ac:dyDescent="0.25">
      <c r="B215" s="111" t="s">
        <v>679</v>
      </c>
      <c r="C215" s="113" t="s">
        <v>935</v>
      </c>
      <c r="D215" s="112" t="s">
        <v>733</v>
      </c>
      <c r="E215" s="130" t="s">
        <v>934</v>
      </c>
      <c r="F215" s="130" t="s">
        <v>936</v>
      </c>
      <c r="G215" s="130" t="s">
        <v>734</v>
      </c>
      <c r="H215" s="131" t="s">
        <v>733</v>
      </c>
      <c r="I215" s="130" t="s">
        <v>934</v>
      </c>
      <c r="J215" s="130" t="s">
        <v>936</v>
      </c>
      <c r="K215" s="132" t="s">
        <v>735</v>
      </c>
      <c r="N215" s="160" t="s">
        <v>679</v>
      </c>
      <c r="O215" s="161" t="s">
        <v>697</v>
      </c>
      <c r="P215" s="161" t="s">
        <v>733</v>
      </c>
      <c r="Q215" s="162" t="s">
        <v>698</v>
      </c>
      <c r="R215" s="162" t="s">
        <v>699</v>
      </c>
      <c r="S215" s="162" t="s">
        <v>734</v>
      </c>
      <c r="T215" s="200" t="s">
        <v>733</v>
      </c>
      <c r="U215" s="162" t="s">
        <v>698</v>
      </c>
      <c r="V215" s="162" t="s">
        <v>699</v>
      </c>
      <c r="W215" s="163" t="s">
        <v>735</v>
      </c>
      <c r="Z215" s="205" t="s">
        <v>679</v>
      </c>
      <c r="AA215" s="271" t="s">
        <v>922</v>
      </c>
      <c r="AB215" s="271" t="s">
        <v>923</v>
      </c>
      <c r="AC215" s="271" t="s">
        <v>924</v>
      </c>
      <c r="AD215" s="271" t="s">
        <v>925</v>
      </c>
      <c r="AE215" s="272" t="s">
        <v>928</v>
      </c>
      <c r="AF215" s="272" t="s">
        <v>929</v>
      </c>
      <c r="AG215" s="272" t="s">
        <v>930</v>
      </c>
      <c r="AH215" s="272" t="s">
        <v>931</v>
      </c>
      <c r="AI215" s="273" t="s">
        <v>687</v>
      </c>
      <c r="AJ215" s="273" t="s">
        <v>688</v>
      </c>
      <c r="AK215" s="273" t="s">
        <v>689</v>
      </c>
      <c r="AL215" s="273" t="s">
        <v>690</v>
      </c>
      <c r="AM215" s="218" t="s">
        <v>687</v>
      </c>
      <c r="AN215" s="273" t="s">
        <v>688</v>
      </c>
      <c r="AO215" s="273" t="s">
        <v>689</v>
      </c>
      <c r="AP215" s="273" t="s">
        <v>690</v>
      </c>
    </row>
    <row r="216" spans="1:42" ht="15" customHeight="1" x14ac:dyDescent="0.25">
      <c r="A216" s="15">
        <v>1100</v>
      </c>
      <c r="B216" s="56" t="s">
        <v>168</v>
      </c>
      <c r="C216" s="285">
        <v>17</v>
      </c>
      <c r="D216" s="286">
        <v>89327.047457229186</v>
      </c>
      <c r="E216" s="287">
        <v>63258</v>
      </c>
      <c r="F216" s="287">
        <v>-26069.047457229186</v>
      </c>
      <c r="G216" s="133">
        <f t="shared" ref="G216:G250" si="162">IFERROR(F216/E216,"--")</f>
        <v>-0.41210672890747707</v>
      </c>
      <c r="H216" s="276">
        <v>112529.99803930677</v>
      </c>
      <c r="I216" s="275">
        <v>84010.331659279997</v>
      </c>
      <c r="J216" s="287">
        <v>-28519.666380026771</v>
      </c>
      <c r="K216" s="133">
        <f t="shared" ref="K216:K250" si="163">IFERROR(J216/I216,"--")</f>
        <v>-0.33947808343018743</v>
      </c>
      <c r="N216" s="164" t="s">
        <v>168</v>
      </c>
      <c r="O216" s="288">
        <v>12</v>
      </c>
      <c r="P216" s="289">
        <v>84204.508506197002</v>
      </c>
      <c r="Q216" s="290">
        <v>58908</v>
      </c>
      <c r="R216" s="290">
        <v>-25296.508506197002</v>
      </c>
      <c r="S216" s="181">
        <v>-0.42942399175319146</v>
      </c>
      <c r="T216" s="291">
        <v>106892.58853386101</v>
      </c>
      <c r="U216" s="277">
        <v>77710.478870239996</v>
      </c>
      <c r="V216" s="290">
        <v>-29182.109663621013</v>
      </c>
      <c r="W216" s="182">
        <v>-0.37552348264831747</v>
      </c>
      <c r="Z216" s="292" t="s">
        <v>168</v>
      </c>
      <c r="AA216" s="189">
        <f t="shared" ref="AA216:AA249" si="164">IF($D216="-","-",IF($P216="-","-",D216))</f>
        <v>89327.047457229186</v>
      </c>
      <c r="AB216" s="189">
        <f t="shared" ref="AB216:AB249" si="165">IF($D216="-","-",IF($P216="-","-",E216))</f>
        <v>63258</v>
      </c>
      <c r="AC216" s="189">
        <f t="shared" ref="AC216:AC249" si="166">IF($D216="-","-",IF($P216="-","-",H216))</f>
        <v>112529.99803930677</v>
      </c>
      <c r="AD216" s="189">
        <f t="shared" ref="AD216:AD249" si="167">IF($D216="-","-",IF($P216="-","-",I216))</f>
        <v>84010.331659279997</v>
      </c>
      <c r="AE216" s="189">
        <f t="shared" ref="AE216:AE249" si="168">IF($D216="-","-",IF($P216="-","-",P216))</f>
        <v>84204.508506197002</v>
      </c>
      <c r="AF216" s="189">
        <f t="shared" ref="AF216:AF249" si="169">IF($D216="-","-",IF($P216="-","-",Q216))</f>
        <v>58908</v>
      </c>
      <c r="AG216" s="189">
        <f t="shared" ref="AG216:AG249" si="170">IF($D216="-","-",IF($P216="-","-",T216))</f>
        <v>106892.58853386101</v>
      </c>
      <c r="AH216" s="189">
        <f t="shared" ref="AH216:AH249" si="171">IF($D216="-","-",IF($P216="-","-",U216))</f>
        <v>77710.478870239996</v>
      </c>
      <c r="AI216" s="206">
        <f t="shared" ref="AI216:AL231" si="172">IFERROR(AA216-AE216,"-")</f>
        <v>5122.5389510321838</v>
      </c>
      <c r="AJ216" s="206">
        <f t="shared" si="172"/>
        <v>4350</v>
      </c>
      <c r="AK216" s="189">
        <f t="shared" si="172"/>
        <v>5637.4095054457575</v>
      </c>
      <c r="AL216" s="189">
        <f t="shared" si="172"/>
        <v>6299.8527890400001</v>
      </c>
      <c r="AM216" s="219">
        <f t="shared" ref="AM216:AP249" si="173">IFERROR(AI216/AE216,"-")</f>
        <v>6.0834497367266177E-2</v>
      </c>
      <c r="AN216" s="214">
        <f t="shared" si="173"/>
        <v>7.3843960073334686E-2</v>
      </c>
      <c r="AO216" s="214">
        <f t="shared" si="173"/>
        <v>5.2739011963022685E-2</v>
      </c>
      <c r="AP216" s="214">
        <f t="shared" si="173"/>
        <v>8.1068253350483357E-2</v>
      </c>
    </row>
    <row r="217" spans="1:42" ht="15" customHeight="1" x14ac:dyDescent="0.25">
      <c r="A217" s="15">
        <v>1101</v>
      </c>
      <c r="B217" s="56" t="s">
        <v>169</v>
      </c>
      <c r="C217" s="285">
        <v>12</v>
      </c>
      <c r="D217" s="286">
        <v>88909.044995980454</v>
      </c>
      <c r="E217" s="287">
        <v>54582</v>
      </c>
      <c r="F217" s="287">
        <v>-34327.044995980454</v>
      </c>
      <c r="G217" s="133">
        <f t="shared" si="162"/>
        <v>-0.62890779004031461</v>
      </c>
      <c r="H217" s="276">
        <v>111463.50693296551</v>
      </c>
      <c r="I217" s="275">
        <v>74235.419435119999</v>
      </c>
      <c r="J217" s="287">
        <v>-37228.08749784551</v>
      </c>
      <c r="K217" s="133">
        <f t="shared" si="163"/>
        <v>-0.50148686140827936</v>
      </c>
      <c r="N217" s="164" t="s">
        <v>169</v>
      </c>
      <c r="O217" s="288">
        <v>9</v>
      </c>
      <c r="P217" s="289">
        <v>90574.435068493156</v>
      </c>
      <c r="Q217" s="290">
        <v>50826</v>
      </c>
      <c r="R217" s="290">
        <v>-39748.435068493156</v>
      </c>
      <c r="S217" s="181">
        <v>-0.78204924779626872</v>
      </c>
      <c r="T217" s="291">
        <v>108893.46504311716</v>
      </c>
      <c r="U217" s="277">
        <v>68571.173203280006</v>
      </c>
      <c r="V217" s="290">
        <v>-40322.291839837155</v>
      </c>
      <c r="W217" s="182">
        <v>-0.58803561257879122</v>
      </c>
      <c r="Z217" s="292" t="s">
        <v>169</v>
      </c>
      <c r="AA217" s="189">
        <f t="shared" si="164"/>
        <v>88909.044995980454</v>
      </c>
      <c r="AB217" s="189">
        <f t="shared" si="165"/>
        <v>54582</v>
      </c>
      <c r="AC217" s="189">
        <f t="shared" si="166"/>
        <v>111463.50693296551</v>
      </c>
      <c r="AD217" s="189">
        <f t="shared" si="167"/>
        <v>74235.419435119999</v>
      </c>
      <c r="AE217" s="189">
        <f t="shared" si="168"/>
        <v>90574.435068493156</v>
      </c>
      <c r="AF217" s="189">
        <f t="shared" si="169"/>
        <v>50826</v>
      </c>
      <c r="AG217" s="189">
        <f t="shared" si="170"/>
        <v>108893.46504311716</v>
      </c>
      <c r="AH217" s="189">
        <f t="shared" si="171"/>
        <v>68571.173203280006</v>
      </c>
      <c r="AI217" s="206">
        <f t="shared" si="172"/>
        <v>-1665.3900725127023</v>
      </c>
      <c r="AJ217" s="206">
        <f t="shared" si="172"/>
        <v>3756</v>
      </c>
      <c r="AK217" s="189">
        <f t="shared" si="172"/>
        <v>2570.0418898483476</v>
      </c>
      <c r="AL217" s="189">
        <f t="shared" si="172"/>
        <v>5664.2462318399921</v>
      </c>
      <c r="AM217" s="219">
        <f t="shared" si="173"/>
        <v>-1.838697720006004E-2</v>
      </c>
      <c r="AN217" s="214">
        <f t="shared" si="173"/>
        <v>7.3899185456262548E-2</v>
      </c>
      <c r="AO217" s="214">
        <f t="shared" si="173"/>
        <v>2.3601433647379304E-2</v>
      </c>
      <c r="AP217" s="214">
        <f t="shared" si="173"/>
        <v>8.2603898507734017E-2</v>
      </c>
    </row>
    <row r="218" spans="1:42" ht="15" customHeight="1" x14ac:dyDescent="0.25">
      <c r="A218" s="15">
        <v>1102</v>
      </c>
      <c r="B218" s="56" t="s">
        <v>170</v>
      </c>
      <c r="C218" s="285">
        <v>16</v>
      </c>
      <c r="D218" s="286">
        <v>89033.205620915032</v>
      </c>
      <c r="E218" s="287">
        <v>89364</v>
      </c>
      <c r="F218" s="287">
        <v>330.79437908496766</v>
      </c>
      <c r="G218" s="133">
        <f t="shared" si="162"/>
        <v>3.7016514377710003E-3</v>
      </c>
      <c r="H218" s="276">
        <v>115755.13385497211</v>
      </c>
      <c r="I218" s="275">
        <v>113422.94790224</v>
      </c>
      <c r="J218" s="287">
        <v>-2332.1859527321067</v>
      </c>
      <c r="K218" s="133">
        <f t="shared" si="163"/>
        <v>-2.0561852745550516E-2</v>
      </c>
      <c r="N218" s="164" t="s">
        <v>170</v>
      </c>
      <c r="O218" s="288">
        <v>16</v>
      </c>
      <c r="P218" s="289">
        <v>76326.202343919649</v>
      </c>
      <c r="Q218" s="290">
        <v>83220</v>
      </c>
      <c r="R218" s="290">
        <v>6893.7976560803509</v>
      </c>
      <c r="S218" s="181">
        <v>8.2838231868305107E-2</v>
      </c>
      <c r="T218" s="291">
        <v>101908.85668363109</v>
      </c>
      <c r="U218" s="277">
        <v>105203.0301416</v>
      </c>
      <c r="V218" s="290">
        <v>3294.1734579689073</v>
      </c>
      <c r="W218" s="182">
        <v>3.1312533997690489E-2</v>
      </c>
      <c r="Z218" s="292" t="s">
        <v>170</v>
      </c>
      <c r="AA218" s="189">
        <f t="shared" si="164"/>
        <v>89033.205620915032</v>
      </c>
      <c r="AB218" s="189">
        <f t="shared" si="165"/>
        <v>89364</v>
      </c>
      <c r="AC218" s="189">
        <f t="shared" si="166"/>
        <v>115755.13385497211</v>
      </c>
      <c r="AD218" s="189">
        <f t="shared" si="167"/>
        <v>113422.94790224</v>
      </c>
      <c r="AE218" s="189">
        <f t="shared" si="168"/>
        <v>76326.202343919649</v>
      </c>
      <c r="AF218" s="189">
        <f t="shared" si="169"/>
        <v>83220</v>
      </c>
      <c r="AG218" s="189">
        <f t="shared" si="170"/>
        <v>101908.85668363109</v>
      </c>
      <c r="AH218" s="189">
        <f t="shared" si="171"/>
        <v>105203.0301416</v>
      </c>
      <c r="AI218" s="206">
        <f t="shared" si="172"/>
        <v>12707.003276995383</v>
      </c>
      <c r="AJ218" s="206">
        <f t="shared" si="172"/>
        <v>6144</v>
      </c>
      <c r="AK218" s="189">
        <f t="shared" si="172"/>
        <v>13846.277171341018</v>
      </c>
      <c r="AL218" s="189">
        <f t="shared" si="172"/>
        <v>8219.9177606400044</v>
      </c>
      <c r="AM218" s="219">
        <f t="shared" si="173"/>
        <v>0.16648284451175313</v>
      </c>
      <c r="AN218" s="214">
        <f t="shared" si="173"/>
        <v>7.3828406633020913E-2</v>
      </c>
      <c r="AO218" s="214">
        <f t="shared" si="173"/>
        <v>0.1358692229697544</v>
      </c>
      <c r="AP218" s="214">
        <f t="shared" si="173"/>
        <v>7.8133849848015316E-2</v>
      </c>
    </row>
    <row r="219" spans="1:42" ht="15" customHeight="1" x14ac:dyDescent="0.25">
      <c r="A219" s="15">
        <v>1103</v>
      </c>
      <c r="B219" s="56" t="s">
        <v>171</v>
      </c>
      <c r="C219" s="285">
        <v>14</v>
      </c>
      <c r="D219" s="286">
        <v>64547.600000000006</v>
      </c>
      <c r="E219" s="287">
        <v>50766</v>
      </c>
      <c r="F219" s="287">
        <v>-13781.600000000006</v>
      </c>
      <c r="G219" s="133">
        <f t="shared" si="162"/>
        <v>-0.27147303313241156</v>
      </c>
      <c r="H219" s="276">
        <v>87126.248160640011</v>
      </c>
      <c r="I219" s="275">
        <v>69936.080448559995</v>
      </c>
      <c r="J219" s="287">
        <v>-17190.167712080016</v>
      </c>
      <c r="K219" s="133">
        <f t="shared" si="163"/>
        <v>-0.2457982718194206</v>
      </c>
      <c r="N219" s="164" t="s">
        <v>171</v>
      </c>
      <c r="O219" s="288">
        <v>9</v>
      </c>
      <c r="P219" s="289">
        <v>62253.72</v>
      </c>
      <c r="Q219" s="290">
        <v>43992</v>
      </c>
      <c r="R219" s="290">
        <v>-18261.72</v>
      </c>
      <c r="S219" s="181">
        <v>-0.41511456628477905</v>
      </c>
      <c r="T219" s="291">
        <v>82650.255954480002</v>
      </c>
      <c r="U219" s="277">
        <v>60843.133741760001</v>
      </c>
      <c r="V219" s="290">
        <v>-21807.122212720002</v>
      </c>
      <c r="W219" s="182">
        <v>-0.35841550018244001</v>
      </c>
      <c r="Z219" s="292" t="s">
        <v>171</v>
      </c>
      <c r="AA219" s="189">
        <f t="shared" si="164"/>
        <v>64547.600000000006</v>
      </c>
      <c r="AB219" s="189">
        <f t="shared" si="165"/>
        <v>50766</v>
      </c>
      <c r="AC219" s="189">
        <f t="shared" si="166"/>
        <v>87126.248160640011</v>
      </c>
      <c r="AD219" s="189">
        <f t="shared" si="167"/>
        <v>69936.080448559995</v>
      </c>
      <c r="AE219" s="189">
        <f t="shared" si="168"/>
        <v>62253.72</v>
      </c>
      <c r="AF219" s="189">
        <f t="shared" si="169"/>
        <v>43992</v>
      </c>
      <c r="AG219" s="189">
        <f t="shared" si="170"/>
        <v>82650.255954480002</v>
      </c>
      <c r="AH219" s="189">
        <f t="shared" si="171"/>
        <v>60843.133741760001</v>
      </c>
      <c r="AI219" s="206">
        <f t="shared" si="172"/>
        <v>2293.8800000000047</v>
      </c>
      <c r="AJ219" s="206">
        <f t="shared" si="172"/>
        <v>6774</v>
      </c>
      <c r="AK219" s="189">
        <f t="shared" si="172"/>
        <v>4475.9922061600082</v>
      </c>
      <c r="AL219" s="189">
        <f t="shared" si="172"/>
        <v>9092.946706799994</v>
      </c>
      <c r="AM219" s="219">
        <f t="shared" si="173"/>
        <v>3.6847275953951097E-2</v>
      </c>
      <c r="AN219" s="214">
        <f t="shared" si="173"/>
        <v>0.15398254228041461</v>
      </c>
      <c r="AO219" s="214">
        <f t="shared" si="173"/>
        <v>5.4155817843143536E-2</v>
      </c>
      <c r="AP219" s="214">
        <f t="shared" si="173"/>
        <v>0.14944901992382095</v>
      </c>
    </row>
    <row r="220" spans="1:42" ht="15" customHeight="1" x14ac:dyDescent="0.25">
      <c r="A220" s="15">
        <v>1104</v>
      </c>
      <c r="B220" s="56" t="s">
        <v>172</v>
      </c>
      <c r="C220" s="285">
        <v>17</v>
      </c>
      <c r="D220" s="286">
        <v>94793.914122933798</v>
      </c>
      <c r="E220" s="287">
        <v>80970</v>
      </c>
      <c r="F220" s="287">
        <v>-13823.914122933798</v>
      </c>
      <c r="G220" s="133">
        <f t="shared" si="162"/>
        <v>-0.17072883935943928</v>
      </c>
      <c r="H220" s="276">
        <v>118506.08980741266</v>
      </c>
      <c r="I220" s="275">
        <v>103965.75412520001</v>
      </c>
      <c r="J220" s="287">
        <v>-14540.335682212652</v>
      </c>
      <c r="K220" s="133">
        <f t="shared" si="163"/>
        <v>-0.13985697314043005</v>
      </c>
      <c r="N220" s="164" t="s">
        <v>172</v>
      </c>
      <c r="O220" s="288">
        <v>16</v>
      </c>
      <c r="P220" s="289">
        <v>85626.528700421346</v>
      </c>
      <c r="Q220" s="290">
        <v>75408</v>
      </c>
      <c r="R220" s="290">
        <v>-10218.528700421346</v>
      </c>
      <c r="S220" s="181">
        <v>-0.1355098756156024</v>
      </c>
      <c r="T220" s="291">
        <v>107502.78285771722</v>
      </c>
      <c r="U220" s="277">
        <v>96369.046490239998</v>
      </c>
      <c r="V220" s="290">
        <v>-11133.73636747722</v>
      </c>
      <c r="W220" s="182">
        <v>-0.11553228731597771</v>
      </c>
      <c r="Z220" s="292" t="s">
        <v>172</v>
      </c>
      <c r="AA220" s="189">
        <f t="shared" si="164"/>
        <v>94793.914122933798</v>
      </c>
      <c r="AB220" s="189">
        <f t="shared" si="165"/>
        <v>80970</v>
      </c>
      <c r="AC220" s="189">
        <f t="shared" si="166"/>
        <v>118506.08980741266</v>
      </c>
      <c r="AD220" s="189">
        <f t="shared" si="167"/>
        <v>103965.75412520001</v>
      </c>
      <c r="AE220" s="189">
        <f t="shared" si="168"/>
        <v>85626.528700421346</v>
      </c>
      <c r="AF220" s="189">
        <f t="shared" si="169"/>
        <v>75408</v>
      </c>
      <c r="AG220" s="189">
        <f t="shared" si="170"/>
        <v>107502.78285771722</v>
      </c>
      <c r="AH220" s="189">
        <f t="shared" si="171"/>
        <v>96369.046490239998</v>
      </c>
      <c r="AI220" s="206">
        <f t="shared" si="172"/>
        <v>9167.3854225124524</v>
      </c>
      <c r="AJ220" s="206">
        <f t="shared" si="172"/>
        <v>5562</v>
      </c>
      <c r="AK220" s="189">
        <f t="shared" si="172"/>
        <v>11003.306949695441</v>
      </c>
      <c r="AL220" s="189">
        <f t="shared" si="172"/>
        <v>7596.7076349600102</v>
      </c>
      <c r="AM220" s="219">
        <f t="shared" si="173"/>
        <v>0.10706244386697113</v>
      </c>
      <c r="AN220" s="214">
        <f t="shared" si="173"/>
        <v>7.3758752387014639E-2</v>
      </c>
      <c r="AO220" s="214">
        <f t="shared" si="173"/>
        <v>0.10235369408305095</v>
      </c>
      <c r="AP220" s="214">
        <f t="shared" si="173"/>
        <v>7.8829332774703595E-2</v>
      </c>
    </row>
    <row r="221" spans="1:42" ht="15" customHeight="1" x14ac:dyDescent="0.25">
      <c r="A221" s="15">
        <v>1105</v>
      </c>
      <c r="B221" s="56" t="s">
        <v>173</v>
      </c>
      <c r="C221" s="285">
        <v>19</v>
      </c>
      <c r="D221" s="286">
        <v>81070.972052807367</v>
      </c>
      <c r="E221" s="287">
        <v>66432</v>
      </c>
      <c r="F221" s="287">
        <v>-14638.972052807367</v>
      </c>
      <c r="G221" s="133">
        <f t="shared" si="162"/>
        <v>-0.2203602488681263</v>
      </c>
      <c r="H221" s="276">
        <v>103384.52305545832</v>
      </c>
      <c r="I221" s="275">
        <v>87586.354181119998</v>
      </c>
      <c r="J221" s="287">
        <v>-15798.168874338327</v>
      </c>
      <c r="K221" s="133">
        <f t="shared" si="163"/>
        <v>-0.18037249092100879</v>
      </c>
      <c r="N221" s="164" t="s">
        <v>173</v>
      </c>
      <c r="O221" s="288">
        <v>16</v>
      </c>
      <c r="P221" s="289">
        <v>73750.023263701107</v>
      </c>
      <c r="Q221" s="290">
        <v>61866</v>
      </c>
      <c r="R221" s="290">
        <v>-11884.023263701107</v>
      </c>
      <c r="S221" s="181">
        <v>-0.1920929632383071</v>
      </c>
      <c r="T221" s="291">
        <v>94830.443913692012</v>
      </c>
      <c r="U221" s="277">
        <v>81055.451174479997</v>
      </c>
      <c r="V221" s="290">
        <v>-13774.992739212015</v>
      </c>
      <c r="W221" s="182">
        <v>-0.16994529719611282</v>
      </c>
      <c r="Z221" s="292" t="s">
        <v>173</v>
      </c>
      <c r="AA221" s="189">
        <f t="shared" si="164"/>
        <v>81070.972052807367</v>
      </c>
      <c r="AB221" s="189">
        <f t="shared" si="165"/>
        <v>66432</v>
      </c>
      <c r="AC221" s="189">
        <f t="shared" si="166"/>
        <v>103384.52305545832</v>
      </c>
      <c r="AD221" s="189">
        <f t="shared" si="167"/>
        <v>87586.354181119998</v>
      </c>
      <c r="AE221" s="189">
        <f t="shared" si="168"/>
        <v>73750.023263701107</v>
      </c>
      <c r="AF221" s="189">
        <f t="shared" si="169"/>
        <v>61866</v>
      </c>
      <c r="AG221" s="189">
        <f t="shared" si="170"/>
        <v>94830.443913692012</v>
      </c>
      <c r="AH221" s="189">
        <f t="shared" si="171"/>
        <v>81055.451174479997</v>
      </c>
      <c r="AI221" s="206">
        <f t="shared" si="172"/>
        <v>7320.9487891062599</v>
      </c>
      <c r="AJ221" s="206">
        <f t="shared" si="172"/>
        <v>4566</v>
      </c>
      <c r="AK221" s="189">
        <f t="shared" si="172"/>
        <v>8554.0791417663131</v>
      </c>
      <c r="AL221" s="189">
        <f t="shared" si="172"/>
        <v>6530.903006640001</v>
      </c>
      <c r="AM221" s="219">
        <f t="shared" si="173"/>
        <v>9.9267070912363281E-2</v>
      </c>
      <c r="AN221" s="214">
        <f t="shared" si="173"/>
        <v>7.3804674619338567E-2</v>
      </c>
      <c r="AO221" s="214">
        <f t="shared" si="173"/>
        <v>9.020393439844733E-2</v>
      </c>
      <c r="AP221" s="214">
        <f t="shared" si="173"/>
        <v>8.0573273135961909E-2</v>
      </c>
    </row>
    <row r="222" spans="1:42" ht="15" customHeight="1" x14ac:dyDescent="0.25">
      <c r="A222" s="15">
        <v>1106</v>
      </c>
      <c r="B222" s="56" t="s">
        <v>174</v>
      </c>
      <c r="C222" s="285">
        <v>23</v>
      </c>
      <c r="D222" s="286">
        <v>79100.274580799407</v>
      </c>
      <c r="E222" s="287">
        <v>69864</v>
      </c>
      <c r="F222" s="287">
        <v>-9236.274580799407</v>
      </c>
      <c r="G222" s="133">
        <f t="shared" si="162"/>
        <v>-0.13220363249741507</v>
      </c>
      <c r="H222" s="276">
        <v>101455.56454411434</v>
      </c>
      <c r="I222" s="275">
        <v>91453.055282240006</v>
      </c>
      <c r="J222" s="287">
        <v>-10002.509261874337</v>
      </c>
      <c r="K222" s="133">
        <f t="shared" si="163"/>
        <v>-0.10937315577926682</v>
      </c>
      <c r="N222" s="164" t="s">
        <v>174</v>
      </c>
      <c r="O222" s="288">
        <v>20</v>
      </c>
      <c r="P222" s="289">
        <v>73530.814901331949</v>
      </c>
      <c r="Q222" s="290">
        <v>61866</v>
      </c>
      <c r="R222" s="290">
        <v>-11664.814901331949</v>
      </c>
      <c r="S222" s="181">
        <v>-0.18854968644056427</v>
      </c>
      <c r="T222" s="291">
        <v>93445.344234904536</v>
      </c>
      <c r="U222" s="277">
        <v>81055.451174479997</v>
      </c>
      <c r="V222" s="290">
        <v>-12389.89306042454</v>
      </c>
      <c r="W222" s="182">
        <v>-0.15285699950955861</v>
      </c>
      <c r="Z222" s="292" t="s">
        <v>174</v>
      </c>
      <c r="AA222" s="189">
        <f t="shared" si="164"/>
        <v>79100.274580799407</v>
      </c>
      <c r="AB222" s="189">
        <f t="shared" si="165"/>
        <v>69864</v>
      </c>
      <c r="AC222" s="189">
        <f t="shared" si="166"/>
        <v>101455.56454411434</v>
      </c>
      <c r="AD222" s="189">
        <f t="shared" si="167"/>
        <v>91453.055282240006</v>
      </c>
      <c r="AE222" s="189">
        <f t="shared" si="168"/>
        <v>73530.814901331949</v>
      </c>
      <c r="AF222" s="189">
        <f t="shared" si="169"/>
        <v>61866</v>
      </c>
      <c r="AG222" s="189">
        <f t="shared" si="170"/>
        <v>93445.344234904536</v>
      </c>
      <c r="AH222" s="189">
        <f t="shared" si="171"/>
        <v>81055.451174479997</v>
      </c>
      <c r="AI222" s="206">
        <f t="shared" si="172"/>
        <v>5569.459679467458</v>
      </c>
      <c r="AJ222" s="206">
        <f t="shared" si="172"/>
        <v>7998</v>
      </c>
      <c r="AK222" s="189">
        <f t="shared" si="172"/>
        <v>8010.2203092098061</v>
      </c>
      <c r="AL222" s="189">
        <f t="shared" si="172"/>
        <v>10397.604107760009</v>
      </c>
      <c r="AM222" s="219">
        <f t="shared" si="173"/>
        <v>7.5743206259047888E-2</v>
      </c>
      <c r="AN222" s="214">
        <f t="shared" si="173"/>
        <v>0.12927941033847348</v>
      </c>
      <c r="AO222" s="214">
        <f t="shared" si="173"/>
        <v>8.5720913918124961E-2</v>
      </c>
      <c r="AP222" s="214">
        <f t="shared" si="173"/>
        <v>0.12827766617914596</v>
      </c>
    </row>
    <row r="223" spans="1:42" ht="15" customHeight="1" x14ac:dyDescent="0.25">
      <c r="A223" s="15">
        <v>1107</v>
      </c>
      <c r="B223" s="56" t="s">
        <v>175</v>
      </c>
      <c r="C223" s="285">
        <v>12</v>
      </c>
      <c r="D223" s="286">
        <v>64314.551406522281</v>
      </c>
      <c r="E223" s="287">
        <v>40938</v>
      </c>
      <c r="F223" s="287">
        <v>-23376.551406522281</v>
      </c>
      <c r="G223" s="133">
        <f t="shared" si="162"/>
        <v>-0.57102328903518207</v>
      </c>
      <c r="H223" s="276">
        <v>85576.618872803214</v>
      </c>
      <c r="I223" s="275">
        <v>58863.254568080003</v>
      </c>
      <c r="J223" s="287">
        <v>-26713.364304723211</v>
      </c>
      <c r="K223" s="133">
        <f t="shared" si="163"/>
        <v>-0.45382071549963476</v>
      </c>
      <c r="N223" s="164" t="s">
        <v>175</v>
      </c>
      <c r="O223" s="288">
        <v>9</v>
      </c>
      <c r="P223" s="289">
        <v>57960.469333248657</v>
      </c>
      <c r="Q223" s="290">
        <v>38124</v>
      </c>
      <c r="R223" s="290">
        <v>-19836.469333248657</v>
      </c>
      <c r="S223" s="181">
        <v>-0.52031448256344182</v>
      </c>
      <c r="T223" s="291">
        <v>76302.40446236865</v>
      </c>
      <c r="U223" s="277">
        <v>54207.46860272</v>
      </c>
      <c r="V223" s="290">
        <v>-22094.935859648649</v>
      </c>
      <c r="W223" s="182">
        <v>-0.40759947714178962</v>
      </c>
      <c r="Z223" s="292" t="s">
        <v>175</v>
      </c>
      <c r="AA223" s="189">
        <f t="shared" si="164"/>
        <v>64314.551406522281</v>
      </c>
      <c r="AB223" s="189">
        <f t="shared" si="165"/>
        <v>40938</v>
      </c>
      <c r="AC223" s="189">
        <f t="shared" si="166"/>
        <v>85576.618872803214</v>
      </c>
      <c r="AD223" s="189">
        <f t="shared" si="167"/>
        <v>58863.254568080003</v>
      </c>
      <c r="AE223" s="189">
        <f t="shared" si="168"/>
        <v>57960.469333248657</v>
      </c>
      <c r="AF223" s="189">
        <f t="shared" si="169"/>
        <v>38124</v>
      </c>
      <c r="AG223" s="189">
        <f t="shared" si="170"/>
        <v>76302.40446236865</v>
      </c>
      <c r="AH223" s="189">
        <f t="shared" si="171"/>
        <v>54207.46860272</v>
      </c>
      <c r="AI223" s="206">
        <f t="shared" si="172"/>
        <v>6354.0820732736247</v>
      </c>
      <c r="AJ223" s="206">
        <f t="shared" si="172"/>
        <v>2814</v>
      </c>
      <c r="AK223" s="189">
        <f t="shared" si="172"/>
        <v>9274.2144104345643</v>
      </c>
      <c r="AL223" s="189">
        <f t="shared" si="172"/>
        <v>4655.7859653600026</v>
      </c>
      <c r="AM223" s="219">
        <f t="shared" si="173"/>
        <v>0.10962785750992264</v>
      </c>
      <c r="AN223" s="214">
        <f t="shared" si="173"/>
        <v>7.3811772112055404E-2</v>
      </c>
      <c r="AO223" s="214">
        <f t="shared" si="173"/>
        <v>0.12154550666890826</v>
      </c>
      <c r="AP223" s="214">
        <f t="shared" si="173"/>
        <v>8.588827490694495E-2</v>
      </c>
    </row>
    <row r="224" spans="1:42" ht="15" customHeight="1" x14ac:dyDescent="0.25">
      <c r="A224" s="15">
        <v>1108</v>
      </c>
      <c r="B224" s="56" t="s">
        <v>176</v>
      </c>
      <c r="C224" s="285">
        <v>18</v>
      </c>
      <c r="D224" s="286">
        <v>59741.710945862586</v>
      </c>
      <c r="E224" s="287">
        <v>47238</v>
      </c>
      <c r="F224" s="287">
        <v>-12503.710945862586</v>
      </c>
      <c r="G224" s="133">
        <f t="shared" si="162"/>
        <v>-0.26469602747496901</v>
      </c>
      <c r="H224" s="276">
        <v>79611.426074421877</v>
      </c>
      <c r="I224" s="275">
        <v>65961.219876079995</v>
      </c>
      <c r="J224" s="287">
        <v>-13650.206198341883</v>
      </c>
      <c r="K224" s="133">
        <f t="shared" si="163"/>
        <v>-0.20694290105589691</v>
      </c>
      <c r="N224" s="164" t="s">
        <v>176</v>
      </c>
      <c r="O224" s="288">
        <v>13</v>
      </c>
      <c r="P224" s="289">
        <v>53391.019885054906</v>
      </c>
      <c r="Q224" s="290">
        <v>39936</v>
      </c>
      <c r="R224" s="290">
        <v>-13455.019885054906</v>
      </c>
      <c r="S224" s="181">
        <v>-0.33691456042304951</v>
      </c>
      <c r="T224" s="291">
        <v>71571.986495113888</v>
      </c>
      <c r="U224" s="277">
        <v>56256.518574080001</v>
      </c>
      <c r="V224" s="290">
        <v>-15315.467921033887</v>
      </c>
      <c r="W224" s="182">
        <v>-0.27224343612493712</v>
      </c>
      <c r="Z224" s="292" t="s">
        <v>176</v>
      </c>
      <c r="AA224" s="189">
        <f t="shared" si="164"/>
        <v>59741.710945862586</v>
      </c>
      <c r="AB224" s="189">
        <f t="shared" si="165"/>
        <v>47238</v>
      </c>
      <c r="AC224" s="189">
        <f t="shared" si="166"/>
        <v>79611.426074421877</v>
      </c>
      <c r="AD224" s="189">
        <f t="shared" si="167"/>
        <v>65961.219876079995</v>
      </c>
      <c r="AE224" s="189">
        <f t="shared" si="168"/>
        <v>53391.019885054906</v>
      </c>
      <c r="AF224" s="189">
        <f t="shared" si="169"/>
        <v>39936</v>
      </c>
      <c r="AG224" s="189">
        <f t="shared" si="170"/>
        <v>71571.986495113888</v>
      </c>
      <c r="AH224" s="189">
        <f t="shared" si="171"/>
        <v>56256.518574080001</v>
      </c>
      <c r="AI224" s="206">
        <f t="shared" si="172"/>
        <v>6350.6910608076796</v>
      </c>
      <c r="AJ224" s="206">
        <f t="shared" si="172"/>
        <v>7302</v>
      </c>
      <c r="AK224" s="189">
        <f t="shared" si="172"/>
        <v>8039.4395793079893</v>
      </c>
      <c r="AL224" s="189">
        <f t="shared" si="172"/>
        <v>9704.701301999994</v>
      </c>
      <c r="AM224" s="219">
        <f t="shared" si="173"/>
        <v>0.11894680181199069</v>
      </c>
      <c r="AN224" s="214">
        <f t="shared" si="173"/>
        <v>0.18284254807692307</v>
      </c>
      <c r="AO224" s="214">
        <f t="shared" si="173"/>
        <v>0.11232662348776402</v>
      </c>
      <c r="AP224" s="214">
        <f t="shared" si="173"/>
        <v>0.17250803192203581</v>
      </c>
    </row>
    <row r="225" spans="1:42" ht="15" customHeight="1" x14ac:dyDescent="0.25">
      <c r="A225" s="15">
        <v>1109</v>
      </c>
      <c r="B225" s="56" t="s">
        <v>177</v>
      </c>
      <c r="C225" s="285">
        <v>21</v>
      </c>
      <c r="D225" s="286">
        <v>81072.054500068203</v>
      </c>
      <c r="E225" s="287">
        <v>58734</v>
      </c>
      <c r="F225" s="287">
        <v>-22338.054500068203</v>
      </c>
      <c r="G225" s="133">
        <f t="shared" si="162"/>
        <v>-0.3803257823418838</v>
      </c>
      <c r="H225" s="276">
        <v>104685.06177909071</v>
      </c>
      <c r="I225" s="275">
        <v>78913.316571439995</v>
      </c>
      <c r="J225" s="287">
        <v>-25771.745207650718</v>
      </c>
      <c r="K225" s="133">
        <f t="shared" si="163"/>
        <v>-0.32658296884936566</v>
      </c>
      <c r="N225" s="164" t="s">
        <v>177</v>
      </c>
      <c r="O225" s="288">
        <v>17</v>
      </c>
      <c r="P225" s="289">
        <v>80029.915305810515</v>
      </c>
      <c r="Q225" s="290">
        <v>54696</v>
      </c>
      <c r="R225" s="290">
        <v>-25333.915305810515</v>
      </c>
      <c r="S225" s="181">
        <v>-0.4631767461205667</v>
      </c>
      <c r="T225" s="291">
        <v>102663.02769228973</v>
      </c>
      <c r="U225" s="277">
        <v>72947.455426879998</v>
      </c>
      <c r="V225" s="290">
        <v>-29715.572265409734</v>
      </c>
      <c r="W225" s="182">
        <v>-0.40735584389500185</v>
      </c>
      <c r="Z225" s="292" t="s">
        <v>177</v>
      </c>
      <c r="AA225" s="189">
        <f t="shared" si="164"/>
        <v>81072.054500068203</v>
      </c>
      <c r="AB225" s="189">
        <f t="shared" si="165"/>
        <v>58734</v>
      </c>
      <c r="AC225" s="189">
        <f t="shared" si="166"/>
        <v>104685.06177909071</v>
      </c>
      <c r="AD225" s="189">
        <f t="shared" si="167"/>
        <v>78913.316571439995</v>
      </c>
      <c r="AE225" s="189">
        <f t="shared" si="168"/>
        <v>80029.915305810515</v>
      </c>
      <c r="AF225" s="189">
        <f t="shared" si="169"/>
        <v>54696</v>
      </c>
      <c r="AG225" s="189">
        <f t="shared" si="170"/>
        <v>102663.02769228973</v>
      </c>
      <c r="AH225" s="189">
        <f t="shared" si="171"/>
        <v>72947.455426879998</v>
      </c>
      <c r="AI225" s="206">
        <f t="shared" si="172"/>
        <v>1042.1391942576884</v>
      </c>
      <c r="AJ225" s="206">
        <f t="shared" si="172"/>
        <v>4038</v>
      </c>
      <c r="AK225" s="189">
        <f t="shared" si="172"/>
        <v>2022.0340868009807</v>
      </c>
      <c r="AL225" s="189">
        <f t="shared" si="172"/>
        <v>5965.8611445599963</v>
      </c>
      <c r="AM225" s="219">
        <f t="shared" si="173"/>
        <v>1.3021870512738436E-2</v>
      </c>
      <c r="AN225" s="214">
        <f t="shared" si="173"/>
        <v>7.3826239578762609E-2</v>
      </c>
      <c r="AO225" s="214">
        <f t="shared" si="173"/>
        <v>1.9695835319230907E-2</v>
      </c>
      <c r="AP225" s="214">
        <f t="shared" si="173"/>
        <v>8.1782991739032876E-2</v>
      </c>
    </row>
    <row r="226" spans="1:42" ht="15" customHeight="1" x14ac:dyDescent="0.25">
      <c r="A226" s="15">
        <v>1110</v>
      </c>
      <c r="B226" s="56" t="s">
        <v>178</v>
      </c>
      <c r="C226" s="285">
        <v>20</v>
      </c>
      <c r="D226" s="286">
        <v>82756.758857773923</v>
      </c>
      <c r="E226" s="287">
        <v>60228</v>
      </c>
      <c r="F226" s="287">
        <v>-22528.758857773923</v>
      </c>
      <c r="G226" s="133">
        <f t="shared" si="162"/>
        <v>-0.37405789429790004</v>
      </c>
      <c r="H226" s="276">
        <v>105569.05887439311</v>
      </c>
      <c r="I226" s="275">
        <v>80596.548344480005</v>
      </c>
      <c r="J226" s="287">
        <v>-24972.51052991311</v>
      </c>
      <c r="K226" s="133">
        <f t="shared" si="163"/>
        <v>-0.30984590584670441</v>
      </c>
      <c r="N226" s="164" t="s">
        <v>178</v>
      </c>
      <c r="O226" s="288">
        <v>13</v>
      </c>
      <c r="P226" s="289">
        <v>74872.518791978247</v>
      </c>
      <c r="Q226" s="290">
        <v>56088</v>
      </c>
      <c r="R226" s="290">
        <v>-18784.518791978247</v>
      </c>
      <c r="S226" s="181">
        <v>-0.33491154599875639</v>
      </c>
      <c r="T226" s="291">
        <v>95720.741863181058</v>
      </c>
      <c r="U226" s="277">
        <v>74521.560040640004</v>
      </c>
      <c r="V226" s="290">
        <v>-21199.181822541053</v>
      </c>
      <c r="W226" s="182">
        <v>-0.28447045138319932</v>
      </c>
      <c r="Z226" s="292" t="s">
        <v>178</v>
      </c>
      <c r="AA226" s="189">
        <f t="shared" si="164"/>
        <v>82756.758857773923</v>
      </c>
      <c r="AB226" s="189">
        <f t="shared" si="165"/>
        <v>60228</v>
      </c>
      <c r="AC226" s="189">
        <f t="shared" si="166"/>
        <v>105569.05887439311</v>
      </c>
      <c r="AD226" s="189">
        <f t="shared" si="167"/>
        <v>80596.548344480005</v>
      </c>
      <c r="AE226" s="189">
        <f t="shared" si="168"/>
        <v>74872.518791978247</v>
      </c>
      <c r="AF226" s="189">
        <f t="shared" si="169"/>
        <v>56088</v>
      </c>
      <c r="AG226" s="189">
        <f t="shared" si="170"/>
        <v>95720.741863181058</v>
      </c>
      <c r="AH226" s="189">
        <f t="shared" si="171"/>
        <v>74521.560040640004</v>
      </c>
      <c r="AI226" s="206">
        <f t="shared" si="172"/>
        <v>7884.240065795675</v>
      </c>
      <c r="AJ226" s="206">
        <f t="shared" si="172"/>
        <v>4140</v>
      </c>
      <c r="AK226" s="189">
        <f t="shared" si="172"/>
        <v>9848.317011212057</v>
      </c>
      <c r="AL226" s="189">
        <f t="shared" si="172"/>
        <v>6074.9883038400003</v>
      </c>
      <c r="AM226" s="219">
        <f t="shared" si="173"/>
        <v>0.10530218821275161</v>
      </c>
      <c r="AN226" s="214">
        <f t="shared" si="173"/>
        <v>7.3812580231065475E-2</v>
      </c>
      <c r="AO226" s="214">
        <f t="shared" si="173"/>
        <v>0.10288592440381208</v>
      </c>
      <c r="AP226" s="214">
        <f t="shared" si="173"/>
        <v>8.1519875597438271E-2</v>
      </c>
    </row>
    <row r="227" spans="1:42" ht="15" customHeight="1" x14ac:dyDescent="0.25">
      <c r="A227" s="15">
        <v>1111</v>
      </c>
      <c r="B227" s="56" t="s">
        <v>179</v>
      </c>
      <c r="C227" s="285">
        <v>14</v>
      </c>
      <c r="D227" s="286">
        <v>56520.243495389899</v>
      </c>
      <c r="E227" s="287">
        <v>52008</v>
      </c>
      <c r="F227" s="287">
        <v>-4512.2434953898992</v>
      </c>
      <c r="G227" s="133">
        <f t="shared" si="162"/>
        <v>-8.6760565593560587E-2</v>
      </c>
      <c r="H227" s="276">
        <v>77082.472019581051</v>
      </c>
      <c r="I227" s="275">
        <v>71335.39360928</v>
      </c>
      <c r="J227" s="287">
        <v>-5747.0784103010519</v>
      </c>
      <c r="K227" s="133">
        <f t="shared" si="163"/>
        <v>-8.0564192885499361E-2</v>
      </c>
      <c r="N227" s="164" t="s">
        <v>179</v>
      </c>
      <c r="O227" s="288">
        <v>13</v>
      </c>
      <c r="P227" s="289">
        <v>60919.215051855914</v>
      </c>
      <c r="Q227" s="290">
        <v>42900</v>
      </c>
      <c r="R227" s="290">
        <v>-18019.215051855914</v>
      </c>
      <c r="S227" s="181">
        <v>-0.42002832288708425</v>
      </c>
      <c r="T227" s="291">
        <v>78506.751495247925</v>
      </c>
      <c r="U227" s="277">
        <v>59608.275812</v>
      </c>
      <c r="V227" s="290">
        <v>-18898.475683247925</v>
      </c>
      <c r="W227" s="182">
        <v>-0.31704449467473761</v>
      </c>
      <c r="Z227" s="292" t="s">
        <v>179</v>
      </c>
      <c r="AA227" s="189">
        <f t="shared" si="164"/>
        <v>56520.243495389899</v>
      </c>
      <c r="AB227" s="189">
        <f t="shared" si="165"/>
        <v>52008</v>
      </c>
      <c r="AC227" s="189">
        <f t="shared" si="166"/>
        <v>77082.472019581051</v>
      </c>
      <c r="AD227" s="189">
        <f t="shared" si="167"/>
        <v>71335.39360928</v>
      </c>
      <c r="AE227" s="189">
        <f t="shared" si="168"/>
        <v>60919.215051855914</v>
      </c>
      <c r="AF227" s="189">
        <f t="shared" si="169"/>
        <v>42900</v>
      </c>
      <c r="AG227" s="189">
        <f t="shared" si="170"/>
        <v>78506.751495247925</v>
      </c>
      <c r="AH227" s="189">
        <f t="shared" si="171"/>
        <v>59608.275812</v>
      </c>
      <c r="AI227" s="206">
        <f t="shared" si="172"/>
        <v>-4398.9715564660146</v>
      </c>
      <c r="AJ227" s="206">
        <f t="shared" si="172"/>
        <v>9108</v>
      </c>
      <c r="AK227" s="189">
        <f t="shared" si="172"/>
        <v>-1424.2794756668736</v>
      </c>
      <c r="AL227" s="189">
        <f t="shared" si="172"/>
        <v>11727.11779728</v>
      </c>
      <c r="AM227" s="219">
        <f t="shared" si="173"/>
        <v>-7.2209918540833182E-2</v>
      </c>
      <c r="AN227" s="214">
        <f t="shared" si="173"/>
        <v>0.21230769230769231</v>
      </c>
      <c r="AO227" s="214">
        <f t="shared" si="173"/>
        <v>-1.8142127250712778E-2</v>
      </c>
      <c r="AP227" s="214">
        <f t="shared" si="173"/>
        <v>0.19673640341932458</v>
      </c>
    </row>
    <row r="228" spans="1:42" ht="15" customHeight="1" x14ac:dyDescent="0.25">
      <c r="A228" s="15">
        <v>1112</v>
      </c>
      <c r="B228" s="56" t="s">
        <v>180</v>
      </c>
      <c r="C228" s="285">
        <v>13</v>
      </c>
      <c r="D228" s="286">
        <v>86124.6</v>
      </c>
      <c r="E228" s="287">
        <v>79002</v>
      </c>
      <c r="F228" s="287">
        <v>-7122.6000000000058</v>
      </c>
      <c r="G228" s="133">
        <f t="shared" si="162"/>
        <v>-9.0157211209842866E-2</v>
      </c>
      <c r="H228" s="276">
        <v>108601.55973612309</v>
      </c>
      <c r="I228" s="275">
        <v>101748.48496232</v>
      </c>
      <c r="J228" s="287">
        <v>-6853.0747738030914</v>
      </c>
      <c r="K228" s="133">
        <f t="shared" si="163"/>
        <v>-6.7353089103399974E-2</v>
      </c>
      <c r="N228" s="164" t="s">
        <v>180</v>
      </c>
      <c r="O228" s="288">
        <v>11</v>
      </c>
      <c r="P228" s="289">
        <v>79467.91</v>
      </c>
      <c r="Q228" s="290">
        <v>73572</v>
      </c>
      <c r="R228" s="290">
        <v>-5895.9100000000035</v>
      </c>
      <c r="S228" s="181">
        <v>-8.0137960093513885E-2</v>
      </c>
      <c r="T228" s="291">
        <v>99065.382764279231</v>
      </c>
      <c r="U228" s="277">
        <v>94292.856784160002</v>
      </c>
      <c r="V228" s="290">
        <v>-4772.5259801192296</v>
      </c>
      <c r="W228" s="182">
        <v>-5.0613865597939477E-2</v>
      </c>
      <c r="Z228" s="292" t="s">
        <v>180</v>
      </c>
      <c r="AA228" s="189">
        <f t="shared" si="164"/>
        <v>86124.6</v>
      </c>
      <c r="AB228" s="189">
        <f t="shared" si="165"/>
        <v>79002</v>
      </c>
      <c r="AC228" s="189">
        <f t="shared" si="166"/>
        <v>108601.55973612309</v>
      </c>
      <c r="AD228" s="189">
        <f t="shared" si="167"/>
        <v>101748.48496232</v>
      </c>
      <c r="AE228" s="189">
        <f t="shared" si="168"/>
        <v>79467.91</v>
      </c>
      <c r="AF228" s="189">
        <f t="shared" si="169"/>
        <v>73572</v>
      </c>
      <c r="AG228" s="189">
        <f t="shared" si="170"/>
        <v>99065.382764279231</v>
      </c>
      <c r="AH228" s="189">
        <f t="shared" si="171"/>
        <v>94292.856784160002</v>
      </c>
      <c r="AI228" s="206">
        <f t="shared" si="172"/>
        <v>6656.6900000000023</v>
      </c>
      <c r="AJ228" s="206">
        <f t="shared" si="172"/>
        <v>5430</v>
      </c>
      <c r="AK228" s="189">
        <f t="shared" si="172"/>
        <v>9536.1769718438591</v>
      </c>
      <c r="AL228" s="189">
        <f t="shared" si="172"/>
        <v>7455.6281781599973</v>
      </c>
      <c r="AM228" s="219">
        <f t="shared" si="173"/>
        <v>8.3765761550794557E-2</v>
      </c>
      <c r="AN228" s="214">
        <f t="shared" si="173"/>
        <v>7.3805251998042734E-2</v>
      </c>
      <c r="AO228" s="214">
        <f t="shared" si="173"/>
        <v>9.6261445782071839E-2</v>
      </c>
      <c r="AP228" s="214">
        <f t="shared" si="173"/>
        <v>7.90688545498862E-2</v>
      </c>
    </row>
    <row r="229" spans="1:42" ht="15" customHeight="1" x14ac:dyDescent="0.25">
      <c r="A229" s="15">
        <v>1113</v>
      </c>
      <c r="B229" s="56" t="s">
        <v>181</v>
      </c>
      <c r="C229" s="285">
        <v>10</v>
      </c>
      <c r="D229" s="286">
        <v>96268</v>
      </c>
      <c r="E229" s="287">
        <v>69864</v>
      </c>
      <c r="F229" s="287">
        <v>-26404</v>
      </c>
      <c r="G229" s="133">
        <f t="shared" si="162"/>
        <v>-0.3779342723004695</v>
      </c>
      <c r="H229" s="276">
        <v>119678.78997955538</v>
      </c>
      <c r="I229" s="275">
        <v>91453.055282240006</v>
      </c>
      <c r="J229" s="287">
        <v>-28225.734697315376</v>
      </c>
      <c r="K229" s="133">
        <f t="shared" si="163"/>
        <v>-0.30863632286757242</v>
      </c>
      <c r="N229" s="164" t="s">
        <v>181</v>
      </c>
      <c r="O229" s="288">
        <v>8</v>
      </c>
      <c r="P229" s="289">
        <v>93838.5</v>
      </c>
      <c r="Q229" s="290">
        <v>65064</v>
      </c>
      <c r="R229" s="290">
        <v>-28774.5</v>
      </c>
      <c r="S229" s="181">
        <v>-0.44224917004795278</v>
      </c>
      <c r="T229" s="291">
        <v>115393.06397459201</v>
      </c>
      <c r="U229" s="277">
        <v>84671.820825920004</v>
      </c>
      <c r="V229" s="290">
        <v>-30721.243148672002</v>
      </c>
      <c r="W229" s="182">
        <v>-0.36282724109397585</v>
      </c>
      <c r="Z229" s="292" t="s">
        <v>181</v>
      </c>
      <c r="AA229" s="189">
        <f t="shared" si="164"/>
        <v>96268</v>
      </c>
      <c r="AB229" s="189">
        <f t="shared" si="165"/>
        <v>69864</v>
      </c>
      <c r="AC229" s="189">
        <f t="shared" si="166"/>
        <v>119678.78997955538</v>
      </c>
      <c r="AD229" s="189">
        <f t="shared" si="167"/>
        <v>91453.055282240006</v>
      </c>
      <c r="AE229" s="189">
        <f t="shared" si="168"/>
        <v>93838.5</v>
      </c>
      <c r="AF229" s="189">
        <f t="shared" si="169"/>
        <v>65064</v>
      </c>
      <c r="AG229" s="189">
        <f t="shared" si="170"/>
        <v>115393.06397459201</v>
      </c>
      <c r="AH229" s="189">
        <f t="shared" si="171"/>
        <v>84671.820825920004</v>
      </c>
      <c r="AI229" s="206">
        <f t="shared" si="172"/>
        <v>2429.5</v>
      </c>
      <c r="AJ229" s="206">
        <f t="shared" si="172"/>
        <v>4800</v>
      </c>
      <c r="AK229" s="189">
        <f t="shared" si="172"/>
        <v>4285.7260049633769</v>
      </c>
      <c r="AL229" s="189">
        <f t="shared" si="172"/>
        <v>6781.2344563200022</v>
      </c>
      <c r="AM229" s="219">
        <f t="shared" si="173"/>
        <v>2.5890226293046031E-2</v>
      </c>
      <c r="AN229" s="214">
        <f t="shared" si="173"/>
        <v>7.3773515308004425E-2</v>
      </c>
      <c r="AO229" s="214">
        <f t="shared" si="173"/>
        <v>3.7140239260022037E-2</v>
      </c>
      <c r="AP229" s="214">
        <f t="shared" si="173"/>
        <v>8.0088444894338556E-2</v>
      </c>
    </row>
    <row r="230" spans="1:42" ht="15" customHeight="1" x14ac:dyDescent="0.25">
      <c r="A230" s="15">
        <v>1114</v>
      </c>
      <c r="B230" s="56" t="s">
        <v>182</v>
      </c>
      <c r="C230" s="285">
        <v>26</v>
      </c>
      <c r="D230" s="286">
        <v>114900</v>
      </c>
      <c r="E230" s="287">
        <v>82992</v>
      </c>
      <c r="F230" s="287">
        <v>-31908</v>
      </c>
      <c r="G230" s="133">
        <f t="shared" si="162"/>
        <v>-0.38447079236552922</v>
      </c>
      <c r="H230" s="276">
        <v>142870.16314400401</v>
      </c>
      <c r="I230" s="275">
        <v>106243.86299071999</v>
      </c>
      <c r="J230" s="287">
        <v>-36626.300153284014</v>
      </c>
      <c r="K230" s="133">
        <f t="shared" si="163"/>
        <v>-0.3447380311885232</v>
      </c>
      <c r="N230" s="164" t="s">
        <v>182</v>
      </c>
      <c r="O230" s="288">
        <v>22</v>
      </c>
      <c r="P230" s="289">
        <v>109222</v>
      </c>
      <c r="Q230" s="290">
        <v>77286</v>
      </c>
      <c r="R230" s="290">
        <v>-31936</v>
      </c>
      <c r="S230" s="181">
        <v>-0.41321843542168052</v>
      </c>
      <c r="T230" s="291">
        <v>133541.80913167476</v>
      </c>
      <c r="U230" s="277">
        <v>98492.730732080003</v>
      </c>
      <c r="V230" s="290">
        <v>-35049.078399594757</v>
      </c>
      <c r="W230" s="182">
        <v>-0.35585446904640389</v>
      </c>
      <c r="Z230" s="292" t="s">
        <v>182</v>
      </c>
      <c r="AA230" s="189">
        <f t="shared" si="164"/>
        <v>114900</v>
      </c>
      <c r="AB230" s="189">
        <f t="shared" si="165"/>
        <v>82992</v>
      </c>
      <c r="AC230" s="189">
        <f t="shared" si="166"/>
        <v>142870.16314400401</v>
      </c>
      <c r="AD230" s="189">
        <f t="shared" si="167"/>
        <v>106243.86299071999</v>
      </c>
      <c r="AE230" s="189">
        <f t="shared" si="168"/>
        <v>109222</v>
      </c>
      <c r="AF230" s="189">
        <f t="shared" si="169"/>
        <v>77286</v>
      </c>
      <c r="AG230" s="189">
        <f t="shared" si="170"/>
        <v>133541.80913167476</v>
      </c>
      <c r="AH230" s="189">
        <f t="shared" si="171"/>
        <v>98492.730732080003</v>
      </c>
      <c r="AI230" s="206">
        <f t="shared" si="172"/>
        <v>5678</v>
      </c>
      <c r="AJ230" s="206">
        <f t="shared" si="172"/>
        <v>5706</v>
      </c>
      <c r="AK230" s="189">
        <f t="shared" si="172"/>
        <v>9328.3540123292478</v>
      </c>
      <c r="AL230" s="189">
        <f t="shared" si="172"/>
        <v>7751.1322586399911</v>
      </c>
      <c r="AM230" s="219">
        <f t="shared" si="173"/>
        <v>5.1985863653842633E-2</v>
      </c>
      <c r="AN230" s="214">
        <f t="shared" si="173"/>
        <v>7.38296716093471E-2</v>
      </c>
      <c r="AO230" s="214">
        <f t="shared" si="173"/>
        <v>6.9853434463594197E-2</v>
      </c>
      <c r="AP230" s="214">
        <f t="shared" si="173"/>
        <v>7.869750590756415E-2</v>
      </c>
    </row>
    <row r="231" spans="1:42" ht="15" customHeight="1" x14ac:dyDescent="0.25">
      <c r="A231" s="15">
        <v>1115</v>
      </c>
      <c r="B231" s="56" t="s">
        <v>183</v>
      </c>
      <c r="C231" s="285">
        <v>11</v>
      </c>
      <c r="D231" s="286">
        <v>110922.2</v>
      </c>
      <c r="E231" s="287">
        <v>87192</v>
      </c>
      <c r="F231" s="287">
        <v>-23730.199999999997</v>
      </c>
      <c r="G231" s="133">
        <f t="shared" si="162"/>
        <v>-0.27216028993485636</v>
      </c>
      <c r="H231" s="276">
        <v>129284.72</v>
      </c>
      <c r="I231" s="275">
        <v>110975.83986272001</v>
      </c>
      <c r="J231" s="287">
        <v>-18308.880137279994</v>
      </c>
      <c r="K231" s="133">
        <f t="shared" si="163"/>
        <v>-0.16498077563484587</v>
      </c>
      <c r="N231" s="164" t="s">
        <v>183</v>
      </c>
      <c r="O231" s="288">
        <v>11</v>
      </c>
      <c r="P231" s="289">
        <v>113501</v>
      </c>
      <c r="Q231" s="290">
        <v>81198</v>
      </c>
      <c r="R231" s="290">
        <v>-32303</v>
      </c>
      <c r="S231" s="181">
        <v>-0.39782999581270473</v>
      </c>
      <c r="T231" s="291">
        <v>130091.4</v>
      </c>
      <c r="U231" s="277">
        <v>102916.50749144</v>
      </c>
      <c r="V231" s="290">
        <v>-27174.892508559991</v>
      </c>
      <c r="W231" s="182">
        <v>-0.26404794693232514</v>
      </c>
      <c r="Z231" s="292" t="s">
        <v>183</v>
      </c>
      <c r="AA231" s="189">
        <f t="shared" si="164"/>
        <v>110922.2</v>
      </c>
      <c r="AB231" s="189">
        <f t="shared" si="165"/>
        <v>87192</v>
      </c>
      <c r="AC231" s="189">
        <f t="shared" si="166"/>
        <v>129284.72</v>
      </c>
      <c r="AD231" s="189">
        <f t="shared" si="167"/>
        <v>110975.83986272001</v>
      </c>
      <c r="AE231" s="189">
        <f t="shared" si="168"/>
        <v>113501</v>
      </c>
      <c r="AF231" s="189">
        <f t="shared" si="169"/>
        <v>81198</v>
      </c>
      <c r="AG231" s="189">
        <f t="shared" si="170"/>
        <v>130091.4</v>
      </c>
      <c r="AH231" s="189">
        <f t="shared" si="171"/>
        <v>102916.50749144</v>
      </c>
      <c r="AI231" s="206">
        <f t="shared" si="172"/>
        <v>-2578.8000000000029</v>
      </c>
      <c r="AJ231" s="206">
        <f t="shared" si="172"/>
        <v>5994</v>
      </c>
      <c r="AK231" s="189">
        <f t="shared" si="172"/>
        <v>-806.67999999999302</v>
      </c>
      <c r="AL231" s="189">
        <f t="shared" si="172"/>
        <v>8059.3323712800047</v>
      </c>
      <c r="AM231" s="219">
        <f t="shared" si="173"/>
        <v>-2.2720504665157161E-2</v>
      </c>
      <c r="AN231" s="214">
        <f t="shared" si="173"/>
        <v>7.3819552205719355E-2</v>
      </c>
      <c r="AO231" s="214">
        <f t="shared" si="173"/>
        <v>-6.2008710798714829E-3</v>
      </c>
      <c r="AP231" s="214">
        <f t="shared" si="173"/>
        <v>7.8309423509637974E-2</v>
      </c>
    </row>
    <row r="232" spans="1:42" ht="15" customHeight="1" x14ac:dyDescent="0.25">
      <c r="A232" s="15">
        <v>1116</v>
      </c>
      <c r="B232" s="56" t="s">
        <v>184</v>
      </c>
      <c r="C232" s="285">
        <v>18</v>
      </c>
      <c r="D232" s="286">
        <v>73800</v>
      </c>
      <c r="E232" s="287">
        <v>58734</v>
      </c>
      <c r="F232" s="287">
        <v>-15066</v>
      </c>
      <c r="G232" s="133">
        <f t="shared" si="162"/>
        <v>-0.25651241189089796</v>
      </c>
      <c r="H232" s="276">
        <v>96217.512253100329</v>
      </c>
      <c r="I232" s="275">
        <v>78913.316571439995</v>
      </c>
      <c r="J232" s="287">
        <v>-17304.195681660334</v>
      </c>
      <c r="K232" s="133">
        <f t="shared" si="163"/>
        <v>-0.21928105969282</v>
      </c>
      <c r="N232" s="164" t="s">
        <v>184</v>
      </c>
      <c r="O232" s="288">
        <v>15</v>
      </c>
      <c r="P232" s="289">
        <v>67375.925000000003</v>
      </c>
      <c r="Q232" s="290">
        <v>54696</v>
      </c>
      <c r="R232" s="290">
        <v>-12679.925000000003</v>
      </c>
      <c r="S232" s="181">
        <v>-0.23182545341524066</v>
      </c>
      <c r="T232" s="291">
        <v>87666.897764279231</v>
      </c>
      <c r="U232" s="277">
        <v>72947.455426879998</v>
      </c>
      <c r="V232" s="290">
        <v>-14719.442337399232</v>
      </c>
      <c r="W232" s="182">
        <v>-0.20178143639504315</v>
      </c>
      <c r="Z232" s="292" t="s">
        <v>184</v>
      </c>
      <c r="AA232" s="189">
        <f t="shared" si="164"/>
        <v>73800</v>
      </c>
      <c r="AB232" s="189">
        <f t="shared" si="165"/>
        <v>58734</v>
      </c>
      <c r="AC232" s="189">
        <f t="shared" si="166"/>
        <v>96217.512253100329</v>
      </c>
      <c r="AD232" s="189">
        <f t="shared" si="167"/>
        <v>78913.316571439995</v>
      </c>
      <c r="AE232" s="189">
        <f t="shared" si="168"/>
        <v>67375.925000000003</v>
      </c>
      <c r="AF232" s="189">
        <f t="shared" si="169"/>
        <v>54696</v>
      </c>
      <c r="AG232" s="189">
        <f t="shared" si="170"/>
        <v>87666.897764279231</v>
      </c>
      <c r="AH232" s="189">
        <f t="shared" si="171"/>
        <v>72947.455426879998</v>
      </c>
      <c r="AI232" s="206">
        <f t="shared" ref="AI232:AL250" si="174">IFERROR(AA232-AE232,"-")</f>
        <v>6424.0749999999971</v>
      </c>
      <c r="AJ232" s="206">
        <f t="shared" si="174"/>
        <v>4038</v>
      </c>
      <c r="AK232" s="189">
        <f t="shared" si="174"/>
        <v>8550.6144888210983</v>
      </c>
      <c r="AL232" s="189">
        <f t="shared" si="174"/>
        <v>5965.8611445599963</v>
      </c>
      <c r="AM232" s="219">
        <f t="shared" si="173"/>
        <v>9.534674292041255E-2</v>
      </c>
      <c r="AN232" s="214">
        <f t="shared" si="173"/>
        <v>7.3826239578762609E-2</v>
      </c>
      <c r="AO232" s="214">
        <f t="shared" si="173"/>
        <v>9.7535269376272299E-2</v>
      </c>
      <c r="AP232" s="214">
        <f t="shared" si="173"/>
        <v>8.1782991739032876E-2</v>
      </c>
    </row>
    <row r="233" spans="1:42" ht="15.75" x14ac:dyDescent="0.25">
      <c r="A233" s="15">
        <v>1117</v>
      </c>
      <c r="B233" s="56" t="s">
        <v>185</v>
      </c>
      <c r="C233" s="285">
        <v>18</v>
      </c>
      <c r="D233" s="286">
        <v>98104.73873201145</v>
      </c>
      <c r="E233" s="287">
        <v>82992</v>
      </c>
      <c r="F233" s="287">
        <v>-15112.73873201145</v>
      </c>
      <c r="G233" s="133">
        <f t="shared" si="162"/>
        <v>-0.18209874122820816</v>
      </c>
      <c r="H233" s="276">
        <v>123171.06370300947</v>
      </c>
      <c r="I233" s="275">
        <v>106243.86299071999</v>
      </c>
      <c r="J233" s="287">
        <v>-16927.200712289472</v>
      </c>
      <c r="K233" s="133">
        <f t="shared" si="163"/>
        <v>-0.15932403280336296</v>
      </c>
      <c r="N233" s="164" t="s">
        <v>185</v>
      </c>
      <c r="O233" s="288">
        <v>17</v>
      </c>
      <c r="P233" s="289">
        <v>85102.513326015367</v>
      </c>
      <c r="Q233" s="290">
        <v>77286</v>
      </c>
      <c r="R233" s="290">
        <v>-7816.5133260153671</v>
      </c>
      <c r="S233" s="181">
        <v>-0.1011375064826148</v>
      </c>
      <c r="T233" s="291">
        <v>109320.54225157338</v>
      </c>
      <c r="U233" s="277">
        <v>98492.730732080003</v>
      </c>
      <c r="V233" s="290">
        <v>-10827.811519493378</v>
      </c>
      <c r="W233" s="182">
        <v>-0.10993513367953213</v>
      </c>
      <c r="Z233" s="292" t="s">
        <v>185</v>
      </c>
      <c r="AA233" s="189">
        <f t="shared" si="164"/>
        <v>98104.73873201145</v>
      </c>
      <c r="AB233" s="189">
        <f t="shared" si="165"/>
        <v>82992</v>
      </c>
      <c r="AC233" s="189">
        <f t="shared" si="166"/>
        <v>123171.06370300947</v>
      </c>
      <c r="AD233" s="189">
        <f t="shared" si="167"/>
        <v>106243.86299071999</v>
      </c>
      <c r="AE233" s="189">
        <f t="shared" si="168"/>
        <v>85102.513326015367</v>
      </c>
      <c r="AF233" s="189">
        <f t="shared" si="169"/>
        <v>77286</v>
      </c>
      <c r="AG233" s="189">
        <f t="shared" si="170"/>
        <v>109320.54225157338</v>
      </c>
      <c r="AH233" s="189">
        <f t="shared" si="171"/>
        <v>98492.730732080003</v>
      </c>
      <c r="AI233" s="206">
        <f t="shared" si="174"/>
        <v>13002.225405996083</v>
      </c>
      <c r="AJ233" s="206">
        <f t="shared" si="174"/>
        <v>5706</v>
      </c>
      <c r="AK233" s="189">
        <f t="shared" si="174"/>
        <v>13850.521451436085</v>
      </c>
      <c r="AL233" s="189">
        <f t="shared" si="174"/>
        <v>7751.1322586399911</v>
      </c>
      <c r="AM233" s="219">
        <f t="shared" si="173"/>
        <v>0.15278309532629719</v>
      </c>
      <c r="AN233" s="214">
        <f t="shared" si="173"/>
        <v>7.38296716093471E-2</v>
      </c>
      <c r="AO233" s="214">
        <f t="shared" si="173"/>
        <v>0.12669642105838294</v>
      </c>
      <c r="AP233" s="214">
        <f t="shared" si="173"/>
        <v>7.869750590756415E-2</v>
      </c>
    </row>
    <row r="234" spans="1:42" ht="15" customHeight="1" x14ac:dyDescent="0.25">
      <c r="A234" s="15">
        <v>1118</v>
      </c>
      <c r="B234" s="56" t="s">
        <v>186</v>
      </c>
      <c r="C234" s="285">
        <v>13</v>
      </c>
      <c r="D234" s="286">
        <v>76820.5</v>
      </c>
      <c r="E234" s="287">
        <v>48336</v>
      </c>
      <c r="F234" s="287">
        <v>-28484.5</v>
      </c>
      <c r="G234" s="133">
        <f t="shared" si="162"/>
        <v>-0.58930196954650782</v>
      </c>
      <c r="H234" s="276">
        <v>98917.973178479995</v>
      </c>
      <c r="I234" s="275">
        <v>67198.293829760005</v>
      </c>
      <c r="J234" s="287">
        <v>-31719.67934871999</v>
      </c>
      <c r="K234" s="133">
        <f t="shared" si="163"/>
        <v>-0.47203102252980633</v>
      </c>
      <c r="N234" s="164" t="s">
        <v>186</v>
      </c>
      <c r="O234" s="288">
        <v>10</v>
      </c>
      <c r="P234" s="289">
        <v>68641.850000000006</v>
      </c>
      <c r="Q234" s="290">
        <v>45012</v>
      </c>
      <c r="R234" s="290">
        <v>-23629.850000000006</v>
      </c>
      <c r="S234" s="181">
        <v>-0.52496778636807973</v>
      </c>
      <c r="T234" s="291">
        <v>88393.557540155627</v>
      </c>
      <c r="U234" s="277">
        <v>61996.572467359998</v>
      </c>
      <c r="V234" s="290">
        <v>-26396.985072795629</v>
      </c>
      <c r="W234" s="182">
        <v>-0.42578136213406209</v>
      </c>
      <c r="Z234" s="292" t="s">
        <v>186</v>
      </c>
      <c r="AA234" s="189">
        <f t="shared" si="164"/>
        <v>76820.5</v>
      </c>
      <c r="AB234" s="189">
        <f t="shared" si="165"/>
        <v>48336</v>
      </c>
      <c r="AC234" s="189">
        <f t="shared" si="166"/>
        <v>98917.973178479995</v>
      </c>
      <c r="AD234" s="189">
        <f t="shared" si="167"/>
        <v>67198.293829760005</v>
      </c>
      <c r="AE234" s="189">
        <f t="shared" si="168"/>
        <v>68641.850000000006</v>
      </c>
      <c r="AF234" s="189">
        <f t="shared" si="169"/>
        <v>45012</v>
      </c>
      <c r="AG234" s="189">
        <f t="shared" si="170"/>
        <v>88393.557540155627</v>
      </c>
      <c r="AH234" s="189">
        <f t="shared" si="171"/>
        <v>61996.572467359998</v>
      </c>
      <c r="AI234" s="206">
        <f t="shared" si="174"/>
        <v>8178.6499999999942</v>
      </c>
      <c r="AJ234" s="206">
        <f t="shared" si="174"/>
        <v>3324</v>
      </c>
      <c r="AK234" s="189">
        <f t="shared" si="174"/>
        <v>10524.415638324368</v>
      </c>
      <c r="AL234" s="189">
        <f t="shared" si="174"/>
        <v>5201.7213624000069</v>
      </c>
      <c r="AM234" s="219">
        <f t="shared" si="173"/>
        <v>0.11914961499435102</v>
      </c>
      <c r="AN234" s="214">
        <f t="shared" si="173"/>
        <v>7.3846974140229268E-2</v>
      </c>
      <c r="AO234" s="214">
        <f t="shared" si="173"/>
        <v>0.11906315269122766</v>
      </c>
      <c r="AP234" s="214">
        <f t="shared" si="173"/>
        <v>8.3903370063540414E-2</v>
      </c>
    </row>
    <row r="235" spans="1:42" ht="15" customHeight="1" x14ac:dyDescent="0.25">
      <c r="A235" s="15">
        <v>1119</v>
      </c>
      <c r="B235" s="56" t="s">
        <v>187</v>
      </c>
      <c r="C235" s="285">
        <v>11</v>
      </c>
      <c r="D235" s="286">
        <v>86522.294361253211</v>
      </c>
      <c r="E235" s="287">
        <v>66432</v>
      </c>
      <c r="F235" s="287">
        <v>-20090.294361253211</v>
      </c>
      <c r="G235" s="133">
        <f t="shared" si="162"/>
        <v>-0.30241893005258325</v>
      </c>
      <c r="H235" s="276">
        <v>108078.47649029338</v>
      </c>
      <c r="I235" s="275">
        <v>87586.354181119998</v>
      </c>
      <c r="J235" s="287">
        <v>-20492.122309173385</v>
      </c>
      <c r="K235" s="133">
        <f t="shared" si="163"/>
        <v>-0.23396478253676006</v>
      </c>
      <c r="N235" s="164" t="s">
        <v>187</v>
      </c>
      <c r="O235" s="288">
        <v>11</v>
      </c>
      <c r="P235" s="289">
        <v>78663.62904109589</v>
      </c>
      <c r="Q235" s="290">
        <v>61866</v>
      </c>
      <c r="R235" s="290">
        <v>-16797.62904109589</v>
      </c>
      <c r="S235" s="181">
        <v>-0.27151632627122957</v>
      </c>
      <c r="T235" s="291">
        <v>98569.57135712789</v>
      </c>
      <c r="U235" s="277">
        <v>81055.451174479997</v>
      </c>
      <c r="V235" s="290">
        <v>-17514.120182647894</v>
      </c>
      <c r="W235" s="182">
        <v>-0.21607578427941868</v>
      </c>
      <c r="Z235" s="292" t="s">
        <v>187</v>
      </c>
      <c r="AA235" s="189">
        <f t="shared" si="164"/>
        <v>86522.294361253211</v>
      </c>
      <c r="AB235" s="189">
        <f t="shared" si="165"/>
        <v>66432</v>
      </c>
      <c r="AC235" s="189">
        <f t="shared" si="166"/>
        <v>108078.47649029338</v>
      </c>
      <c r="AD235" s="189">
        <f t="shared" si="167"/>
        <v>87586.354181119998</v>
      </c>
      <c r="AE235" s="189">
        <f t="shared" si="168"/>
        <v>78663.62904109589</v>
      </c>
      <c r="AF235" s="189">
        <f t="shared" si="169"/>
        <v>61866</v>
      </c>
      <c r="AG235" s="189">
        <f t="shared" si="170"/>
        <v>98569.57135712789</v>
      </c>
      <c r="AH235" s="189">
        <f t="shared" si="171"/>
        <v>81055.451174479997</v>
      </c>
      <c r="AI235" s="206">
        <f t="shared" si="174"/>
        <v>7858.6653201573208</v>
      </c>
      <c r="AJ235" s="206">
        <f t="shared" si="174"/>
        <v>4566</v>
      </c>
      <c r="AK235" s="189">
        <f t="shared" si="174"/>
        <v>9508.9051331654919</v>
      </c>
      <c r="AL235" s="189">
        <f t="shared" si="174"/>
        <v>6530.903006640001</v>
      </c>
      <c r="AM235" s="219">
        <f t="shared" si="173"/>
        <v>9.9902145577999632E-2</v>
      </c>
      <c r="AN235" s="214">
        <f t="shared" si="173"/>
        <v>7.3804674619338567E-2</v>
      </c>
      <c r="AO235" s="214">
        <f t="shared" si="173"/>
        <v>9.6468971126127068E-2</v>
      </c>
      <c r="AP235" s="214">
        <f t="shared" si="173"/>
        <v>8.0573273135961909E-2</v>
      </c>
    </row>
    <row r="236" spans="1:42" ht="15" customHeight="1" x14ac:dyDescent="0.25">
      <c r="A236" s="15">
        <v>1120</v>
      </c>
      <c r="B236" s="56" t="s">
        <v>188</v>
      </c>
      <c r="C236" s="285">
        <v>7</v>
      </c>
      <c r="D236" s="286">
        <v>108174.05112288136</v>
      </c>
      <c r="E236" s="287">
        <v>106242</v>
      </c>
      <c r="F236" s="287">
        <v>-1932.0511228813557</v>
      </c>
      <c r="G236" s="133">
        <f t="shared" si="162"/>
        <v>-1.8185379820422769E-2</v>
      </c>
      <c r="H236" s="276">
        <v>134613.40946490952</v>
      </c>
      <c r="I236" s="275">
        <v>132438.73496072</v>
      </c>
      <c r="J236" s="287">
        <v>-2174.6745041895192</v>
      </c>
      <c r="K236" s="133">
        <f t="shared" si="163"/>
        <v>-1.6420230114962256E-2</v>
      </c>
      <c r="N236" s="164" t="s">
        <v>188</v>
      </c>
      <c r="O236" s="288">
        <v>11</v>
      </c>
      <c r="P236" s="289">
        <v>101261.67979381443</v>
      </c>
      <c r="Q236" s="290">
        <v>98940</v>
      </c>
      <c r="R236" s="290">
        <v>-2321.67979381443</v>
      </c>
      <c r="S236" s="181">
        <v>-2.3465532583529715E-2</v>
      </c>
      <c r="T236" s="291">
        <v>128239.35763970362</v>
      </c>
      <c r="U236" s="277">
        <v>122979.5563832</v>
      </c>
      <c r="V236" s="290">
        <v>-5259.8012565036188</v>
      </c>
      <c r="W236" s="182">
        <v>-4.2769720522606712E-2</v>
      </c>
      <c r="Z236" s="164" t="s">
        <v>188</v>
      </c>
      <c r="AA236" s="189">
        <f t="shared" si="164"/>
        <v>108174.05112288136</v>
      </c>
      <c r="AB236" s="189">
        <f t="shared" si="165"/>
        <v>106242</v>
      </c>
      <c r="AC236" s="189">
        <f t="shared" si="166"/>
        <v>134613.40946490952</v>
      </c>
      <c r="AD236" s="189">
        <f t="shared" si="167"/>
        <v>132438.73496072</v>
      </c>
      <c r="AE236" s="189">
        <f t="shared" si="168"/>
        <v>101261.67979381443</v>
      </c>
      <c r="AF236" s="189">
        <f t="shared" si="169"/>
        <v>98940</v>
      </c>
      <c r="AG236" s="189">
        <f t="shared" si="170"/>
        <v>128239.35763970362</v>
      </c>
      <c r="AH236" s="189">
        <f t="shared" si="171"/>
        <v>122979.5563832</v>
      </c>
      <c r="AI236" s="206">
        <f t="shared" si="174"/>
        <v>6912.3713290669257</v>
      </c>
      <c r="AJ236" s="206">
        <f t="shared" si="174"/>
        <v>7302</v>
      </c>
      <c r="AK236" s="189">
        <f t="shared" si="174"/>
        <v>6374.0518252058973</v>
      </c>
      <c r="AL236" s="189">
        <f t="shared" si="174"/>
        <v>9459.1785775199969</v>
      </c>
      <c r="AM236" s="219">
        <f t="shared" si="173"/>
        <v>6.8262459630747382E-2</v>
      </c>
      <c r="AN236" s="214">
        <f t="shared" si="173"/>
        <v>7.3802304426925411E-2</v>
      </c>
      <c r="AO236" s="214">
        <f t="shared" si="173"/>
        <v>4.9704333696946525E-2</v>
      </c>
      <c r="AP236" s="214">
        <f t="shared" si="173"/>
        <v>7.6916675061386025E-2</v>
      </c>
    </row>
    <row r="237" spans="1:42" ht="15" customHeight="1" x14ac:dyDescent="0.25">
      <c r="A237" s="15">
        <v>1121</v>
      </c>
      <c r="B237" s="56" t="s">
        <v>189</v>
      </c>
      <c r="C237" s="285">
        <v>12</v>
      </c>
      <c r="D237" s="286">
        <v>110712.3285893533</v>
      </c>
      <c r="E237" s="287">
        <v>82992</v>
      </c>
      <c r="F237" s="287">
        <v>-27720.328589353303</v>
      </c>
      <c r="G237" s="133">
        <f t="shared" si="162"/>
        <v>-0.33401205645548127</v>
      </c>
      <c r="H237" s="276">
        <v>137954.74192052981</v>
      </c>
      <c r="I237" s="275">
        <v>106243.86299071999</v>
      </c>
      <c r="J237" s="287">
        <v>-31710.878929809813</v>
      </c>
      <c r="K237" s="133">
        <f t="shared" si="163"/>
        <v>-0.29847257090585683</v>
      </c>
      <c r="N237" s="164" t="s">
        <v>189</v>
      </c>
      <c r="O237" s="288">
        <v>12</v>
      </c>
      <c r="P237" s="289">
        <v>95724.104432657943</v>
      </c>
      <c r="Q237" s="290">
        <v>75408</v>
      </c>
      <c r="R237" s="290">
        <v>-20316.104432657943</v>
      </c>
      <c r="S237" s="181">
        <v>-0.26941577064314054</v>
      </c>
      <c r="T237" s="291">
        <v>121404.08268644994</v>
      </c>
      <c r="U237" s="277">
        <v>96369.046490239998</v>
      </c>
      <c r="V237" s="290">
        <v>-25035.036196209941</v>
      </c>
      <c r="W237" s="182">
        <v>-0.25978296048353477</v>
      </c>
      <c r="Z237" s="292" t="s">
        <v>189</v>
      </c>
      <c r="AA237" s="189">
        <f t="shared" si="164"/>
        <v>110712.3285893533</v>
      </c>
      <c r="AB237" s="189">
        <f t="shared" si="165"/>
        <v>82992</v>
      </c>
      <c r="AC237" s="189">
        <f t="shared" si="166"/>
        <v>137954.74192052981</v>
      </c>
      <c r="AD237" s="189">
        <f t="shared" si="167"/>
        <v>106243.86299071999</v>
      </c>
      <c r="AE237" s="189">
        <f t="shared" si="168"/>
        <v>95724.104432657943</v>
      </c>
      <c r="AF237" s="189">
        <f t="shared" si="169"/>
        <v>75408</v>
      </c>
      <c r="AG237" s="189">
        <f t="shared" si="170"/>
        <v>121404.08268644994</v>
      </c>
      <c r="AH237" s="189">
        <f t="shared" si="171"/>
        <v>96369.046490239998</v>
      </c>
      <c r="AI237" s="206">
        <f t="shared" si="174"/>
        <v>14988.22415669536</v>
      </c>
      <c r="AJ237" s="206">
        <f t="shared" si="174"/>
        <v>7584</v>
      </c>
      <c r="AK237" s="189">
        <f t="shared" si="174"/>
        <v>16550.659234079867</v>
      </c>
      <c r="AL237" s="189">
        <f t="shared" si="174"/>
        <v>9874.8165004799957</v>
      </c>
      <c r="AM237" s="219">
        <f t="shared" si="173"/>
        <v>0.15657732444224223</v>
      </c>
      <c r="AN237" s="214">
        <f t="shared" si="173"/>
        <v>0.10057288351368555</v>
      </c>
      <c r="AO237" s="214">
        <f t="shared" si="173"/>
        <v>0.13632703997957976</v>
      </c>
      <c r="AP237" s="214">
        <f t="shared" si="173"/>
        <v>0.1024687579686709</v>
      </c>
    </row>
    <row r="238" spans="1:42" ht="15" customHeight="1" x14ac:dyDescent="0.25">
      <c r="A238" s="15">
        <v>1123</v>
      </c>
      <c r="B238" s="56" t="s">
        <v>190</v>
      </c>
      <c r="C238" s="285">
        <v>23</v>
      </c>
      <c r="D238" s="286">
        <v>64723.1175</v>
      </c>
      <c r="E238" s="287">
        <v>48336</v>
      </c>
      <c r="F238" s="287">
        <v>-16387.1175</v>
      </c>
      <c r="G238" s="133">
        <f t="shared" si="162"/>
        <v>-0.33902510551142007</v>
      </c>
      <c r="H238" s="276">
        <v>84962.500319201892</v>
      </c>
      <c r="I238" s="275">
        <v>67198.293829760005</v>
      </c>
      <c r="J238" s="287">
        <v>-17764.206489441887</v>
      </c>
      <c r="K238" s="133">
        <f t="shared" si="163"/>
        <v>-0.2643550226802735</v>
      </c>
      <c r="N238" s="164" t="s">
        <v>190</v>
      </c>
      <c r="O238" s="288">
        <v>20</v>
      </c>
      <c r="P238" s="289">
        <v>62734</v>
      </c>
      <c r="Q238" s="290">
        <v>43992</v>
      </c>
      <c r="R238" s="290">
        <v>-18742</v>
      </c>
      <c r="S238" s="181">
        <v>-0.42603200581923983</v>
      </c>
      <c r="T238" s="291">
        <v>80926.460010659197</v>
      </c>
      <c r="U238" s="277">
        <v>60843.133741760001</v>
      </c>
      <c r="V238" s="290">
        <v>-20083.326268899196</v>
      </c>
      <c r="W238" s="182">
        <v>-0.33008369283114197</v>
      </c>
      <c r="Z238" s="292" t="s">
        <v>190</v>
      </c>
      <c r="AA238" s="189">
        <f t="shared" si="164"/>
        <v>64723.1175</v>
      </c>
      <c r="AB238" s="189">
        <f t="shared" si="165"/>
        <v>48336</v>
      </c>
      <c r="AC238" s="189">
        <f t="shared" si="166"/>
        <v>84962.500319201892</v>
      </c>
      <c r="AD238" s="189">
        <f t="shared" si="167"/>
        <v>67198.293829760005</v>
      </c>
      <c r="AE238" s="189">
        <f t="shared" si="168"/>
        <v>62734</v>
      </c>
      <c r="AF238" s="189">
        <f t="shared" si="169"/>
        <v>43992</v>
      </c>
      <c r="AG238" s="189">
        <f t="shared" si="170"/>
        <v>80926.460010659197</v>
      </c>
      <c r="AH238" s="189">
        <f t="shared" si="171"/>
        <v>60843.133741760001</v>
      </c>
      <c r="AI238" s="206">
        <f t="shared" si="174"/>
        <v>1989.1175000000003</v>
      </c>
      <c r="AJ238" s="206">
        <f t="shared" si="174"/>
        <v>4344</v>
      </c>
      <c r="AK238" s="189">
        <f t="shared" si="174"/>
        <v>4036.0403085426951</v>
      </c>
      <c r="AL238" s="189">
        <f t="shared" si="174"/>
        <v>6355.1600880000042</v>
      </c>
      <c r="AM238" s="219">
        <f t="shared" si="173"/>
        <v>3.1707168361653972E-2</v>
      </c>
      <c r="AN238" s="214">
        <f t="shared" si="173"/>
        <v>9.8745226404800879E-2</v>
      </c>
      <c r="AO238" s="214">
        <f t="shared" si="173"/>
        <v>4.9872937825416921E-2</v>
      </c>
      <c r="AP238" s="214">
        <f t="shared" si="173"/>
        <v>0.10445155759027099</v>
      </c>
    </row>
    <row r="239" spans="1:42" ht="15" customHeight="1" x14ac:dyDescent="0.25">
      <c r="A239" s="15">
        <v>1124</v>
      </c>
      <c r="B239" s="56" t="s">
        <v>191</v>
      </c>
      <c r="C239" s="285">
        <v>20</v>
      </c>
      <c r="D239" s="286">
        <v>78573.2</v>
      </c>
      <c r="E239" s="287">
        <v>68112</v>
      </c>
      <c r="F239" s="287">
        <v>-10461.199999999997</v>
      </c>
      <c r="G239" s="133">
        <f t="shared" si="162"/>
        <v>-0.15358820765797507</v>
      </c>
      <c r="H239" s="276">
        <v>100429.2152008339</v>
      </c>
      <c r="I239" s="275">
        <v>89479.144929920003</v>
      </c>
      <c r="J239" s="287">
        <v>-10950.0702709139</v>
      </c>
      <c r="K239" s="133">
        <f t="shared" si="163"/>
        <v>-0.12237566954277432</v>
      </c>
      <c r="N239" s="164" t="s">
        <v>191</v>
      </c>
      <c r="O239" s="288">
        <v>17</v>
      </c>
      <c r="P239" s="289">
        <v>73688</v>
      </c>
      <c r="Q239" s="290">
        <v>61866</v>
      </c>
      <c r="R239" s="290">
        <v>-11822</v>
      </c>
      <c r="S239" s="181">
        <v>-0.19109042123298742</v>
      </c>
      <c r="T239" s="291">
        <v>93929.291713535858</v>
      </c>
      <c r="U239" s="277">
        <v>81055.451174479997</v>
      </c>
      <c r="V239" s="290">
        <v>-12873.840539055862</v>
      </c>
      <c r="W239" s="182">
        <v>-0.15882757239045683</v>
      </c>
      <c r="Z239" s="292" t="s">
        <v>191</v>
      </c>
      <c r="AA239" s="189">
        <f t="shared" si="164"/>
        <v>78573.2</v>
      </c>
      <c r="AB239" s="189">
        <f t="shared" si="165"/>
        <v>68112</v>
      </c>
      <c r="AC239" s="189">
        <f t="shared" si="166"/>
        <v>100429.2152008339</v>
      </c>
      <c r="AD239" s="189">
        <f t="shared" si="167"/>
        <v>89479.144929920003</v>
      </c>
      <c r="AE239" s="189">
        <f t="shared" si="168"/>
        <v>73688</v>
      </c>
      <c r="AF239" s="189">
        <f t="shared" si="169"/>
        <v>61866</v>
      </c>
      <c r="AG239" s="189">
        <f t="shared" si="170"/>
        <v>93929.291713535858</v>
      </c>
      <c r="AH239" s="189">
        <f t="shared" si="171"/>
        <v>81055.451174479997</v>
      </c>
      <c r="AI239" s="206">
        <f t="shared" si="174"/>
        <v>4885.1999999999971</v>
      </c>
      <c r="AJ239" s="206">
        <f t="shared" si="174"/>
        <v>6246</v>
      </c>
      <c r="AK239" s="189">
        <f t="shared" si="174"/>
        <v>6499.9234872980451</v>
      </c>
      <c r="AL239" s="189">
        <f t="shared" si="174"/>
        <v>8423.6937554400065</v>
      </c>
      <c r="AM239" s="219">
        <f t="shared" si="173"/>
        <v>6.6295733362284184E-2</v>
      </c>
      <c r="AN239" s="214">
        <f t="shared" si="173"/>
        <v>0.10096013965667734</v>
      </c>
      <c r="AO239" s="214">
        <f t="shared" si="173"/>
        <v>6.9200175671732034E-2</v>
      </c>
      <c r="AP239" s="214">
        <f t="shared" si="173"/>
        <v>0.10392507392633174</v>
      </c>
    </row>
    <row r="240" spans="1:42" ht="15" customHeight="1" x14ac:dyDescent="0.25">
      <c r="A240" s="15">
        <v>1125</v>
      </c>
      <c r="B240" s="56" t="s">
        <v>192</v>
      </c>
      <c r="C240" s="285">
        <v>16</v>
      </c>
      <c r="D240" s="286">
        <v>80675.046339438966</v>
      </c>
      <c r="E240" s="287">
        <v>56838</v>
      </c>
      <c r="F240" s="287">
        <v>-23837.046339438966</v>
      </c>
      <c r="G240" s="133">
        <f t="shared" si="162"/>
        <v>-0.41938573383016586</v>
      </c>
      <c r="H240" s="276">
        <v>102979.51161721426</v>
      </c>
      <c r="I240" s="275">
        <v>76777.167012079997</v>
      </c>
      <c r="J240" s="287">
        <v>-26202.344605134262</v>
      </c>
      <c r="K240" s="133">
        <f t="shared" si="163"/>
        <v>-0.34127782548959673</v>
      </c>
      <c r="N240" s="164" t="s">
        <v>192</v>
      </c>
      <c r="O240" s="288">
        <v>15</v>
      </c>
      <c r="P240" s="289">
        <v>75289.478865110112</v>
      </c>
      <c r="Q240" s="290">
        <v>52926</v>
      </c>
      <c r="R240" s="290">
        <v>-22363.478865110112</v>
      </c>
      <c r="S240" s="181">
        <v>-0.42254239627234463</v>
      </c>
      <c r="T240" s="291">
        <v>95739.456195574108</v>
      </c>
      <c r="U240" s="277">
        <v>70945.899991280006</v>
      </c>
      <c r="V240" s="290">
        <v>-24793.556204294102</v>
      </c>
      <c r="W240" s="182">
        <v>-0.34947130429441997</v>
      </c>
      <c r="Z240" s="292" t="s">
        <v>192</v>
      </c>
      <c r="AA240" s="189">
        <f t="shared" si="164"/>
        <v>80675.046339438966</v>
      </c>
      <c r="AB240" s="189">
        <f t="shared" si="165"/>
        <v>56838</v>
      </c>
      <c r="AC240" s="189">
        <f t="shared" si="166"/>
        <v>102979.51161721426</v>
      </c>
      <c r="AD240" s="189">
        <f t="shared" si="167"/>
        <v>76777.167012079997</v>
      </c>
      <c r="AE240" s="189">
        <f t="shared" si="168"/>
        <v>75289.478865110112</v>
      </c>
      <c r="AF240" s="189">
        <f t="shared" si="169"/>
        <v>52926</v>
      </c>
      <c r="AG240" s="189">
        <f t="shared" si="170"/>
        <v>95739.456195574108</v>
      </c>
      <c r="AH240" s="189">
        <f t="shared" si="171"/>
        <v>70945.899991280006</v>
      </c>
      <c r="AI240" s="206">
        <f t="shared" si="174"/>
        <v>5385.5674743288546</v>
      </c>
      <c r="AJ240" s="206">
        <f t="shared" si="174"/>
        <v>3912</v>
      </c>
      <c r="AK240" s="189">
        <f t="shared" si="174"/>
        <v>7240.0554216401506</v>
      </c>
      <c r="AL240" s="189">
        <f t="shared" si="174"/>
        <v>5831.2670207999909</v>
      </c>
      <c r="AM240" s="219">
        <f t="shared" si="173"/>
        <v>7.1531474988394156E-2</v>
      </c>
      <c r="AN240" s="214">
        <f t="shared" si="173"/>
        <v>7.3914522163020066E-2</v>
      </c>
      <c r="AO240" s="214">
        <f t="shared" si="173"/>
        <v>7.5622483240873548E-2</v>
      </c>
      <c r="AP240" s="214">
        <f t="shared" si="173"/>
        <v>8.2193150295037695E-2</v>
      </c>
    </row>
    <row r="241" spans="1:55" ht="15" customHeight="1" x14ac:dyDescent="0.25">
      <c r="A241" s="15">
        <v>1126</v>
      </c>
      <c r="B241" s="56" t="s">
        <v>193</v>
      </c>
      <c r="C241" s="285">
        <v>17</v>
      </c>
      <c r="D241" s="286">
        <v>62619.083484853683</v>
      </c>
      <c r="E241" s="287">
        <v>52770</v>
      </c>
      <c r="F241" s="287">
        <v>-9849.0834848536833</v>
      </c>
      <c r="G241" s="133">
        <f t="shared" si="162"/>
        <v>-0.18664171849258449</v>
      </c>
      <c r="H241" s="276">
        <v>82354.452690493679</v>
      </c>
      <c r="I241" s="275">
        <v>72193.909413200003</v>
      </c>
      <c r="J241" s="287">
        <v>-10160.543277293677</v>
      </c>
      <c r="K241" s="133">
        <f t="shared" si="163"/>
        <v>-0.14073961861713383</v>
      </c>
      <c r="N241" s="164" t="s">
        <v>193</v>
      </c>
      <c r="O241" s="288">
        <v>15</v>
      </c>
      <c r="P241" s="289">
        <v>58355.04044075901</v>
      </c>
      <c r="Q241" s="290">
        <v>49140</v>
      </c>
      <c r="R241" s="290">
        <v>-9215.0404407590104</v>
      </c>
      <c r="S241" s="181">
        <v>-0.18752626049570637</v>
      </c>
      <c r="T241" s="291">
        <v>75309.615269406073</v>
      </c>
      <c r="U241" s="277">
        <v>66664.606839200002</v>
      </c>
      <c r="V241" s="290">
        <v>-8645.0084302060714</v>
      </c>
      <c r="W241" s="182">
        <v>-0.12967913320269744</v>
      </c>
      <c r="Z241" s="292" t="s">
        <v>193</v>
      </c>
      <c r="AA241" s="189">
        <f t="shared" si="164"/>
        <v>62619.083484853683</v>
      </c>
      <c r="AB241" s="189">
        <f t="shared" si="165"/>
        <v>52770</v>
      </c>
      <c r="AC241" s="189">
        <f t="shared" si="166"/>
        <v>82354.452690493679</v>
      </c>
      <c r="AD241" s="189">
        <f t="shared" si="167"/>
        <v>72193.909413200003</v>
      </c>
      <c r="AE241" s="189">
        <f t="shared" si="168"/>
        <v>58355.04044075901</v>
      </c>
      <c r="AF241" s="189">
        <f t="shared" si="169"/>
        <v>49140</v>
      </c>
      <c r="AG241" s="189">
        <f t="shared" si="170"/>
        <v>75309.615269406073</v>
      </c>
      <c r="AH241" s="189">
        <f t="shared" si="171"/>
        <v>66664.606839200002</v>
      </c>
      <c r="AI241" s="206">
        <f t="shared" si="174"/>
        <v>4264.043044094673</v>
      </c>
      <c r="AJ241" s="206">
        <f t="shared" si="174"/>
        <v>3630</v>
      </c>
      <c r="AK241" s="189">
        <f t="shared" si="174"/>
        <v>7044.8374210876063</v>
      </c>
      <c r="AL241" s="189">
        <f t="shared" si="174"/>
        <v>5529.3025740000012</v>
      </c>
      <c r="AM241" s="219">
        <f t="shared" si="173"/>
        <v>7.3070689556345228E-2</v>
      </c>
      <c r="AN241" s="214">
        <f t="shared" si="173"/>
        <v>7.3870573870573872E-2</v>
      </c>
      <c r="AO241" s="214">
        <f t="shared" si="173"/>
        <v>9.3544992839042093E-2</v>
      </c>
      <c r="AP241" s="214">
        <f t="shared" si="173"/>
        <v>8.2942101306276217E-2</v>
      </c>
    </row>
    <row r="242" spans="1:55" ht="15" customHeight="1" x14ac:dyDescent="0.25">
      <c r="A242" s="15">
        <v>1127</v>
      </c>
      <c r="B242" s="56" t="s">
        <v>194</v>
      </c>
      <c r="C242" s="285">
        <v>11</v>
      </c>
      <c r="D242" s="286">
        <v>70556.959064327486</v>
      </c>
      <c r="E242" s="287">
        <v>64344</v>
      </c>
      <c r="F242" s="287">
        <v>-6212.959064327486</v>
      </c>
      <c r="G242" s="133">
        <f t="shared" si="162"/>
        <v>-9.6558483531137107E-2</v>
      </c>
      <c r="H242" s="276">
        <v>92937.518403842303</v>
      </c>
      <c r="I242" s="275">
        <v>85233.885679040002</v>
      </c>
      <c r="J242" s="287">
        <v>-7703.6327248023008</v>
      </c>
      <c r="K242" s="133">
        <f t="shared" si="163"/>
        <v>-9.0382277698935337E-2</v>
      </c>
      <c r="N242" s="164" t="s">
        <v>194</v>
      </c>
      <c r="O242" s="288">
        <v>11</v>
      </c>
      <c r="P242" s="289">
        <v>64052.295460317458</v>
      </c>
      <c r="Q242" s="290">
        <v>59928</v>
      </c>
      <c r="R242" s="290">
        <v>-4124.2954603174585</v>
      </c>
      <c r="S242" s="181">
        <v>-6.8820842683177452E-2</v>
      </c>
      <c r="T242" s="291">
        <v>84067.229507287877</v>
      </c>
      <c r="U242" s="277">
        <v>78863.917595840001</v>
      </c>
      <c r="V242" s="290">
        <v>-5203.3119114478759</v>
      </c>
      <c r="W242" s="182">
        <v>-6.5978359559991553E-2</v>
      </c>
      <c r="Z242" s="292" t="s">
        <v>194</v>
      </c>
      <c r="AA242" s="189">
        <f t="shared" si="164"/>
        <v>70556.959064327486</v>
      </c>
      <c r="AB242" s="189">
        <f t="shared" si="165"/>
        <v>64344</v>
      </c>
      <c r="AC242" s="189">
        <f t="shared" si="166"/>
        <v>92937.518403842303</v>
      </c>
      <c r="AD242" s="189">
        <f t="shared" si="167"/>
        <v>85233.885679040002</v>
      </c>
      <c r="AE242" s="189">
        <f t="shared" si="168"/>
        <v>64052.295460317458</v>
      </c>
      <c r="AF242" s="189">
        <f t="shared" si="169"/>
        <v>59928</v>
      </c>
      <c r="AG242" s="189">
        <f t="shared" si="170"/>
        <v>84067.229507287877</v>
      </c>
      <c r="AH242" s="189">
        <f t="shared" si="171"/>
        <v>78863.917595840001</v>
      </c>
      <c r="AI242" s="206">
        <f t="shared" si="174"/>
        <v>6504.6636040100275</v>
      </c>
      <c r="AJ242" s="206">
        <f t="shared" si="174"/>
        <v>4416</v>
      </c>
      <c r="AK242" s="189">
        <f t="shared" si="174"/>
        <v>8870.2888965544262</v>
      </c>
      <c r="AL242" s="189">
        <f t="shared" si="174"/>
        <v>6369.9680832000013</v>
      </c>
      <c r="AM242" s="219">
        <f t="shared" si="173"/>
        <v>0.10155238867340648</v>
      </c>
      <c r="AN242" s="214">
        <f t="shared" si="173"/>
        <v>7.3688426111333596E-2</v>
      </c>
      <c r="AO242" s="214">
        <f t="shared" si="173"/>
        <v>0.10551422889207324</v>
      </c>
      <c r="AP242" s="214">
        <f t="shared" si="173"/>
        <v>8.0771641548986542E-2</v>
      </c>
    </row>
    <row r="243" spans="1:55" ht="15" customHeight="1" x14ac:dyDescent="0.25">
      <c r="A243" s="15">
        <v>1128</v>
      </c>
      <c r="B243" s="56" t="s">
        <v>195</v>
      </c>
      <c r="C243" s="285">
        <v>25</v>
      </c>
      <c r="D243" s="286">
        <v>68925.510000000009</v>
      </c>
      <c r="E243" s="287">
        <v>55500</v>
      </c>
      <c r="F243" s="287">
        <v>-13425.510000000009</v>
      </c>
      <c r="G243" s="133">
        <f t="shared" si="162"/>
        <v>-0.24190108108108124</v>
      </c>
      <c r="H243" s="276">
        <v>90801.832793120004</v>
      </c>
      <c r="I243" s="275">
        <v>75269.694380000001</v>
      </c>
      <c r="J243" s="287">
        <v>-15532.138413120003</v>
      </c>
      <c r="K243" s="133">
        <f t="shared" si="163"/>
        <v>-0.20635314838274493</v>
      </c>
      <c r="N243" s="164" t="s">
        <v>195</v>
      </c>
      <c r="O243" s="288">
        <v>22</v>
      </c>
      <c r="P243" s="289">
        <v>63290</v>
      </c>
      <c r="Q243" s="290">
        <v>49140</v>
      </c>
      <c r="R243" s="290">
        <v>-14150</v>
      </c>
      <c r="S243" s="181">
        <v>-0.28795278795278795</v>
      </c>
      <c r="T243" s="291">
        <v>82733.130037061608</v>
      </c>
      <c r="U243" s="277">
        <v>66664.606839200002</v>
      </c>
      <c r="V243" s="290">
        <v>-16068.523197861607</v>
      </c>
      <c r="W243" s="182">
        <v>-0.2410352953347506</v>
      </c>
      <c r="Z243" s="292" t="s">
        <v>195</v>
      </c>
      <c r="AA243" s="189">
        <f t="shared" si="164"/>
        <v>68925.510000000009</v>
      </c>
      <c r="AB243" s="189">
        <f t="shared" si="165"/>
        <v>55500</v>
      </c>
      <c r="AC243" s="189">
        <f t="shared" si="166"/>
        <v>90801.832793120004</v>
      </c>
      <c r="AD243" s="189">
        <f t="shared" si="167"/>
        <v>75269.694380000001</v>
      </c>
      <c r="AE243" s="189">
        <f t="shared" si="168"/>
        <v>63290</v>
      </c>
      <c r="AF243" s="189">
        <f t="shared" si="169"/>
        <v>49140</v>
      </c>
      <c r="AG243" s="189">
        <f t="shared" si="170"/>
        <v>82733.130037061608</v>
      </c>
      <c r="AH243" s="189">
        <f t="shared" si="171"/>
        <v>66664.606839200002</v>
      </c>
      <c r="AI243" s="206">
        <f t="shared" si="174"/>
        <v>5635.5100000000093</v>
      </c>
      <c r="AJ243" s="206">
        <f t="shared" si="174"/>
        <v>6360</v>
      </c>
      <c r="AK243" s="189">
        <f t="shared" si="174"/>
        <v>8068.7027560583956</v>
      </c>
      <c r="AL243" s="189">
        <f t="shared" si="174"/>
        <v>8605.0875407999993</v>
      </c>
      <c r="AM243" s="219">
        <f t="shared" si="173"/>
        <v>8.9042660767893966E-2</v>
      </c>
      <c r="AN243" s="214">
        <f t="shared" si="173"/>
        <v>0.12942612942612944</v>
      </c>
      <c r="AO243" s="214">
        <f t="shared" si="173"/>
        <v>9.7526864418690476E-2</v>
      </c>
      <c r="AP243" s="214">
        <f t="shared" si="173"/>
        <v>0.12908030135925216</v>
      </c>
    </row>
    <row r="244" spans="1:55" ht="15" customHeight="1" x14ac:dyDescent="0.25">
      <c r="A244" s="15">
        <v>1129</v>
      </c>
      <c r="B244" s="56" t="s">
        <v>196</v>
      </c>
      <c r="C244" s="285">
        <v>25</v>
      </c>
      <c r="D244" s="286">
        <v>73485.350000000006</v>
      </c>
      <c r="E244" s="287">
        <v>64344</v>
      </c>
      <c r="F244" s="287">
        <v>-9141.3500000000058</v>
      </c>
      <c r="G244" s="133">
        <f t="shared" si="162"/>
        <v>-0.14206996767375366</v>
      </c>
      <c r="H244" s="276">
        <v>95163.758472305402</v>
      </c>
      <c r="I244" s="275">
        <v>85233.885679040002</v>
      </c>
      <c r="J244" s="287">
        <v>-9929.8727932654001</v>
      </c>
      <c r="K244" s="133">
        <f t="shared" si="163"/>
        <v>-0.11650146786288391</v>
      </c>
      <c r="N244" s="164" t="s">
        <v>196</v>
      </c>
      <c r="O244" s="288">
        <v>18</v>
      </c>
      <c r="P244" s="289">
        <v>70763.059726027393</v>
      </c>
      <c r="Q244" s="290">
        <v>57000</v>
      </c>
      <c r="R244" s="290">
        <v>-13763.059726027393</v>
      </c>
      <c r="S244" s="181">
        <v>-0.24145718817591919</v>
      </c>
      <c r="T244" s="291">
        <v>91178.789568743232</v>
      </c>
      <c r="U244" s="277">
        <v>75552.869959999996</v>
      </c>
      <c r="V244" s="290">
        <v>-15625.919608743236</v>
      </c>
      <c r="W244" s="182">
        <v>-0.20682099325963496</v>
      </c>
      <c r="Z244" s="292" t="s">
        <v>196</v>
      </c>
      <c r="AA244" s="189">
        <f t="shared" si="164"/>
        <v>73485.350000000006</v>
      </c>
      <c r="AB244" s="189">
        <f t="shared" si="165"/>
        <v>64344</v>
      </c>
      <c r="AC244" s="189">
        <f t="shared" si="166"/>
        <v>95163.758472305402</v>
      </c>
      <c r="AD244" s="189">
        <f t="shared" si="167"/>
        <v>85233.885679040002</v>
      </c>
      <c r="AE244" s="189">
        <f t="shared" si="168"/>
        <v>70763.059726027393</v>
      </c>
      <c r="AF244" s="189">
        <f t="shared" si="169"/>
        <v>57000</v>
      </c>
      <c r="AG244" s="189">
        <f t="shared" si="170"/>
        <v>91178.789568743232</v>
      </c>
      <c r="AH244" s="189">
        <f t="shared" si="171"/>
        <v>75552.869959999996</v>
      </c>
      <c r="AI244" s="206">
        <f t="shared" si="174"/>
        <v>2722.2902739726123</v>
      </c>
      <c r="AJ244" s="206">
        <f t="shared" si="174"/>
        <v>7344</v>
      </c>
      <c r="AK244" s="189">
        <f t="shared" si="174"/>
        <v>3984.9689035621705</v>
      </c>
      <c r="AL244" s="189">
        <f t="shared" si="174"/>
        <v>9681.0157190400059</v>
      </c>
      <c r="AM244" s="219">
        <f t="shared" si="173"/>
        <v>3.8470499784951012E-2</v>
      </c>
      <c r="AN244" s="214">
        <f t="shared" si="173"/>
        <v>0.1288421052631579</v>
      </c>
      <c r="AO244" s="214">
        <f t="shared" si="173"/>
        <v>4.3704998963138765E-2</v>
      </c>
      <c r="AP244" s="214">
        <f t="shared" si="173"/>
        <v>0.12813564493533378</v>
      </c>
    </row>
    <row r="245" spans="1:55" ht="15" customHeight="1" x14ac:dyDescent="0.25">
      <c r="A245" s="15">
        <v>1130</v>
      </c>
      <c r="B245" s="56" t="s">
        <v>197</v>
      </c>
      <c r="C245" s="285">
        <v>12</v>
      </c>
      <c r="D245" s="286">
        <v>86240.940946124319</v>
      </c>
      <c r="E245" s="287">
        <v>49560</v>
      </c>
      <c r="F245" s="287">
        <v>-36680.940946124319</v>
      </c>
      <c r="G245" s="133">
        <f t="shared" si="162"/>
        <v>-0.74013198034956251</v>
      </c>
      <c r="H245" s="276">
        <v>110463.74909423756</v>
      </c>
      <c r="I245" s="275">
        <v>68577.327089600003</v>
      </c>
      <c r="J245" s="287">
        <v>-41886.422004637556</v>
      </c>
      <c r="K245" s="133">
        <f t="shared" si="163"/>
        <v>-0.6107911139480644</v>
      </c>
      <c r="N245" s="164" t="s">
        <v>197</v>
      </c>
      <c r="O245" s="288">
        <v>10</v>
      </c>
      <c r="P245" s="289">
        <v>79083.72876258308</v>
      </c>
      <c r="Q245" s="290">
        <v>46152</v>
      </c>
      <c r="R245" s="290">
        <v>-32931.72876258308</v>
      </c>
      <c r="S245" s="181">
        <v>-0.71354933182923985</v>
      </c>
      <c r="T245" s="291">
        <v>103445.4332337513</v>
      </c>
      <c r="U245" s="277">
        <v>63285.709866559999</v>
      </c>
      <c r="V245" s="290">
        <v>-40159.723367191305</v>
      </c>
      <c r="W245" s="182">
        <v>-0.63457806591518695</v>
      </c>
      <c r="Z245" s="292" t="s">
        <v>197</v>
      </c>
      <c r="AA245" s="189">
        <f t="shared" si="164"/>
        <v>86240.940946124319</v>
      </c>
      <c r="AB245" s="189">
        <f t="shared" si="165"/>
        <v>49560</v>
      </c>
      <c r="AC245" s="189">
        <f t="shared" si="166"/>
        <v>110463.74909423756</v>
      </c>
      <c r="AD245" s="189">
        <f t="shared" si="167"/>
        <v>68577.327089600003</v>
      </c>
      <c r="AE245" s="189">
        <f t="shared" si="168"/>
        <v>79083.72876258308</v>
      </c>
      <c r="AF245" s="189">
        <f t="shared" si="169"/>
        <v>46152</v>
      </c>
      <c r="AG245" s="189">
        <f t="shared" si="170"/>
        <v>103445.4332337513</v>
      </c>
      <c r="AH245" s="189">
        <f t="shared" si="171"/>
        <v>63285.709866559999</v>
      </c>
      <c r="AI245" s="206">
        <f t="shared" si="174"/>
        <v>7157.2121835412399</v>
      </c>
      <c r="AJ245" s="206">
        <f t="shared" si="174"/>
        <v>3408</v>
      </c>
      <c r="AK245" s="189">
        <f t="shared" si="174"/>
        <v>7018.3158604862547</v>
      </c>
      <c r="AL245" s="189">
        <f t="shared" si="174"/>
        <v>5291.6172230400043</v>
      </c>
      <c r="AM245" s="219">
        <f t="shared" si="173"/>
        <v>9.0501703644094419E-2</v>
      </c>
      <c r="AN245" s="214">
        <f t="shared" si="173"/>
        <v>7.3842953718148724E-2</v>
      </c>
      <c r="AO245" s="214">
        <f t="shared" si="173"/>
        <v>6.7845584295898889E-2</v>
      </c>
      <c r="AP245" s="214">
        <f t="shared" si="173"/>
        <v>8.3614724938656029E-2</v>
      </c>
    </row>
    <row r="246" spans="1:55" ht="15" customHeight="1" x14ac:dyDescent="0.25">
      <c r="A246" s="15">
        <v>1132</v>
      </c>
      <c r="B246" s="56" t="s">
        <v>198</v>
      </c>
      <c r="C246" s="285">
        <v>15</v>
      </c>
      <c r="D246" s="286">
        <v>72532.38970177235</v>
      </c>
      <c r="E246" s="287">
        <v>42882</v>
      </c>
      <c r="F246" s="287">
        <v>-29650.38970177235</v>
      </c>
      <c r="G246" s="133">
        <f t="shared" si="162"/>
        <v>-0.69144139036827457</v>
      </c>
      <c r="H246" s="276">
        <v>93645.330981811654</v>
      </c>
      <c r="I246" s="275">
        <v>61053.483863119996</v>
      </c>
      <c r="J246" s="287">
        <v>-32591.847118691658</v>
      </c>
      <c r="K246" s="133">
        <f t="shared" si="163"/>
        <v>-0.53382452657020463</v>
      </c>
      <c r="N246" s="164" t="s">
        <v>198</v>
      </c>
      <c r="O246" s="288">
        <v>11</v>
      </c>
      <c r="P246" s="289">
        <v>59989.064769919474</v>
      </c>
      <c r="Q246" s="290">
        <v>39936</v>
      </c>
      <c r="R246" s="290">
        <v>-20053.064769919474</v>
      </c>
      <c r="S246" s="181">
        <v>-0.50213002729165346</v>
      </c>
      <c r="T246" s="291">
        <v>78736.045669250219</v>
      </c>
      <c r="U246" s="277">
        <v>56256.518574080001</v>
      </c>
      <c r="V246" s="290">
        <v>-22479.527095170219</v>
      </c>
      <c r="W246" s="182">
        <v>-0.39958973048729651</v>
      </c>
      <c r="Z246" s="164" t="s">
        <v>198</v>
      </c>
      <c r="AA246" s="189">
        <f t="shared" si="164"/>
        <v>72532.38970177235</v>
      </c>
      <c r="AB246" s="189">
        <f t="shared" si="165"/>
        <v>42882</v>
      </c>
      <c r="AC246" s="189">
        <f t="shared" si="166"/>
        <v>93645.330981811654</v>
      </c>
      <c r="AD246" s="189">
        <f t="shared" si="167"/>
        <v>61053.483863119996</v>
      </c>
      <c r="AE246" s="189">
        <f t="shared" si="168"/>
        <v>59989.064769919474</v>
      </c>
      <c r="AF246" s="189">
        <f t="shared" si="169"/>
        <v>39936</v>
      </c>
      <c r="AG246" s="189">
        <f t="shared" si="170"/>
        <v>78736.045669250219</v>
      </c>
      <c r="AH246" s="189">
        <f t="shared" si="171"/>
        <v>56256.518574080001</v>
      </c>
      <c r="AI246" s="206">
        <f t="shared" ref="AI246:AI248" si="175">IFERROR(AA246-AE246,"-")</f>
        <v>12543.324931852876</v>
      </c>
      <c r="AJ246" s="206">
        <f t="shared" ref="AJ246:AJ248" si="176">IFERROR(AB246-AF246,"-")</f>
        <v>2946</v>
      </c>
      <c r="AK246" s="189">
        <f t="shared" ref="AK246:AK248" si="177">IFERROR(AC246-AG246,"-")</f>
        <v>14909.285312561435</v>
      </c>
      <c r="AL246" s="189">
        <f t="shared" ref="AL246:AL248" si="178">IFERROR(AD246-AH246,"-")</f>
        <v>4796.9652890399957</v>
      </c>
      <c r="AM246" s="219">
        <f t="shared" ref="AM246:AM248" si="179">IFERROR(AI246/AE246,"-")</f>
        <v>0.20909352362736816</v>
      </c>
      <c r="AN246" s="214">
        <f t="shared" ref="AN246:AN248" si="180">IFERROR(AJ246/AF246,"-")</f>
        <v>7.3768028846153841E-2</v>
      </c>
      <c r="AO246" s="214">
        <f t="shared" ref="AO246:AO248" si="181">IFERROR(AK246/AG246,"-")</f>
        <v>0.18935781173455787</v>
      </c>
      <c r="AP246" s="214">
        <f t="shared" ref="AP246:AP248" si="182">IFERROR(AL246/AH246,"-")</f>
        <v>8.526950139517131E-2</v>
      </c>
    </row>
    <row r="247" spans="1:55" ht="15" customHeight="1" x14ac:dyDescent="0.25">
      <c r="A247" s="15">
        <v>1133</v>
      </c>
      <c r="B247" s="56" t="s">
        <v>199</v>
      </c>
      <c r="C247" s="285">
        <v>4</v>
      </c>
      <c r="D247" s="286" t="s">
        <v>684</v>
      </c>
      <c r="E247" s="287" t="s">
        <v>684</v>
      </c>
      <c r="F247" s="287" t="s">
        <v>484</v>
      </c>
      <c r="G247" s="133" t="str">
        <f t="shared" si="162"/>
        <v>--</v>
      </c>
      <c r="H247" s="276" t="s">
        <v>684</v>
      </c>
      <c r="I247" s="275" t="s">
        <v>684</v>
      </c>
      <c r="J247" s="287" t="s">
        <v>484</v>
      </c>
      <c r="K247" s="133" t="str">
        <f t="shared" si="163"/>
        <v>--</v>
      </c>
      <c r="N247" s="164" t="s">
        <v>199</v>
      </c>
      <c r="O247" s="288">
        <v>4</v>
      </c>
      <c r="P247" s="289" t="s">
        <v>684</v>
      </c>
      <c r="Q247" s="290" t="s">
        <v>684</v>
      </c>
      <c r="R247" s="290" t="s">
        <v>484</v>
      </c>
      <c r="S247" s="181" t="s">
        <v>484</v>
      </c>
      <c r="T247" s="291" t="s">
        <v>684</v>
      </c>
      <c r="U247" s="277" t="s">
        <v>684</v>
      </c>
      <c r="V247" s="290" t="s">
        <v>484</v>
      </c>
      <c r="W247" s="182" t="s">
        <v>484</v>
      </c>
      <c r="Z247" s="292" t="s">
        <v>199</v>
      </c>
      <c r="AA247" s="189" t="str">
        <f t="shared" si="164"/>
        <v>-</v>
      </c>
      <c r="AB247" s="189" t="str">
        <f t="shared" si="165"/>
        <v>-</v>
      </c>
      <c r="AC247" s="189" t="str">
        <f t="shared" si="166"/>
        <v>-</v>
      </c>
      <c r="AD247" s="189" t="str">
        <f t="shared" si="167"/>
        <v>-</v>
      </c>
      <c r="AE247" s="189" t="str">
        <f t="shared" si="168"/>
        <v>-</v>
      </c>
      <c r="AF247" s="189" t="str">
        <f t="shared" si="169"/>
        <v>-</v>
      </c>
      <c r="AG247" s="189" t="str">
        <f t="shared" si="170"/>
        <v>-</v>
      </c>
      <c r="AH247" s="189" t="str">
        <f t="shared" si="171"/>
        <v>-</v>
      </c>
      <c r="AI247" s="206" t="str">
        <f t="shared" si="175"/>
        <v>-</v>
      </c>
      <c r="AJ247" s="206" t="str">
        <f t="shared" si="176"/>
        <v>-</v>
      </c>
      <c r="AK247" s="189" t="str">
        <f t="shared" si="177"/>
        <v>-</v>
      </c>
      <c r="AL247" s="189" t="str">
        <f t="shared" si="178"/>
        <v>-</v>
      </c>
      <c r="AM247" s="219" t="str">
        <f t="shared" si="179"/>
        <v>-</v>
      </c>
      <c r="AN247" s="214" t="str">
        <f t="shared" si="180"/>
        <v>-</v>
      </c>
      <c r="AO247" s="214" t="str">
        <f t="shared" si="181"/>
        <v>-</v>
      </c>
      <c r="AP247" s="214" t="str">
        <f t="shared" si="182"/>
        <v>-</v>
      </c>
    </row>
    <row r="248" spans="1:55" ht="15" customHeight="1" x14ac:dyDescent="0.25">
      <c r="A248" s="15">
        <v>1135</v>
      </c>
      <c r="B248" s="56" t="s">
        <v>200</v>
      </c>
      <c r="C248" s="285">
        <v>3</v>
      </c>
      <c r="D248" s="286" t="s">
        <v>684</v>
      </c>
      <c r="E248" s="287" t="s">
        <v>684</v>
      </c>
      <c r="F248" s="287" t="s">
        <v>484</v>
      </c>
      <c r="G248" s="133" t="str">
        <f t="shared" si="162"/>
        <v>--</v>
      </c>
      <c r="H248" s="276" t="s">
        <v>684</v>
      </c>
      <c r="I248" s="275" t="s">
        <v>684</v>
      </c>
      <c r="J248" s="287" t="s">
        <v>484</v>
      </c>
      <c r="K248" s="133" t="str">
        <f t="shared" si="163"/>
        <v>--</v>
      </c>
      <c r="N248" s="164" t="s">
        <v>200</v>
      </c>
      <c r="O248" s="288">
        <v>2</v>
      </c>
      <c r="P248" s="289" t="s">
        <v>684</v>
      </c>
      <c r="Q248" s="290" t="s">
        <v>684</v>
      </c>
      <c r="R248" s="290" t="s">
        <v>484</v>
      </c>
      <c r="S248" s="181" t="s">
        <v>484</v>
      </c>
      <c r="T248" s="291" t="s">
        <v>684</v>
      </c>
      <c r="U248" s="277" t="s">
        <v>684</v>
      </c>
      <c r="V248" s="290" t="s">
        <v>484</v>
      </c>
      <c r="W248" s="182" t="s">
        <v>484</v>
      </c>
      <c r="X248" s="14"/>
      <c r="Y248" s="14"/>
      <c r="Z248" s="292" t="s">
        <v>200</v>
      </c>
      <c r="AA248" s="189" t="str">
        <f t="shared" si="164"/>
        <v>-</v>
      </c>
      <c r="AB248" s="189" t="str">
        <f t="shared" si="165"/>
        <v>-</v>
      </c>
      <c r="AC248" s="189" t="str">
        <f t="shared" si="166"/>
        <v>-</v>
      </c>
      <c r="AD248" s="189" t="str">
        <f t="shared" si="167"/>
        <v>-</v>
      </c>
      <c r="AE248" s="189" t="str">
        <f t="shared" si="168"/>
        <v>-</v>
      </c>
      <c r="AF248" s="189" t="str">
        <f t="shared" si="169"/>
        <v>-</v>
      </c>
      <c r="AG248" s="189" t="str">
        <f t="shared" si="170"/>
        <v>-</v>
      </c>
      <c r="AH248" s="189" t="str">
        <f t="shared" si="171"/>
        <v>-</v>
      </c>
      <c r="AI248" s="206" t="str">
        <f t="shared" si="175"/>
        <v>-</v>
      </c>
      <c r="AJ248" s="206" t="str">
        <f t="shared" si="176"/>
        <v>-</v>
      </c>
      <c r="AK248" s="189" t="str">
        <f t="shared" si="177"/>
        <v>-</v>
      </c>
      <c r="AL248" s="189" t="str">
        <f t="shared" si="178"/>
        <v>-</v>
      </c>
      <c r="AM248" s="219" t="str">
        <f t="shared" si="179"/>
        <v>-</v>
      </c>
      <c r="AN248" s="214" t="str">
        <f t="shared" si="180"/>
        <v>-</v>
      </c>
      <c r="AO248" s="214" t="str">
        <f t="shared" si="181"/>
        <v>-</v>
      </c>
      <c r="AP248" s="214" t="str">
        <f t="shared" si="182"/>
        <v>-</v>
      </c>
    </row>
    <row r="249" spans="1:55" s="14" customFormat="1" ht="15" customHeight="1" x14ac:dyDescent="0.25">
      <c r="A249" s="15">
        <v>1713</v>
      </c>
      <c r="B249" s="56" t="s">
        <v>768</v>
      </c>
      <c r="C249" s="285">
        <v>9</v>
      </c>
      <c r="D249" s="286">
        <v>87516.957153627125</v>
      </c>
      <c r="E249" s="287">
        <v>77082</v>
      </c>
      <c r="F249" s="287">
        <v>-10434.957153627125</v>
      </c>
      <c r="G249" s="133">
        <f t="shared" si="162"/>
        <v>-0.13537475874558424</v>
      </c>
      <c r="H249" s="276">
        <v>111255.69622983724</v>
      </c>
      <c r="I249" s="275">
        <v>99585.295535120007</v>
      </c>
      <c r="J249" s="287">
        <v>-11670.400694717231</v>
      </c>
      <c r="K249" s="133">
        <f t="shared" si="163"/>
        <v>-0.11718999910585712</v>
      </c>
      <c r="L249"/>
      <c r="N249" s="164" t="s">
        <v>768</v>
      </c>
      <c r="O249" s="288" t="str">
        <f>"-"</f>
        <v>-</v>
      </c>
      <c r="P249" s="289" t="s">
        <v>684</v>
      </c>
      <c r="Q249" s="290" t="s">
        <v>684</v>
      </c>
      <c r="R249" s="290" t="s">
        <v>484</v>
      </c>
      <c r="S249" s="181" t="s">
        <v>484</v>
      </c>
      <c r="T249" s="291" t="s">
        <v>684</v>
      </c>
      <c r="U249" s="277" t="s">
        <v>684</v>
      </c>
      <c r="V249" s="290" t="s">
        <v>484</v>
      </c>
      <c r="W249" s="182" t="s">
        <v>484</v>
      </c>
      <c r="Z249" s="56" t="s">
        <v>768</v>
      </c>
      <c r="AA249" s="189" t="str">
        <f t="shared" si="164"/>
        <v>-</v>
      </c>
      <c r="AB249" s="189" t="str">
        <f t="shared" si="165"/>
        <v>-</v>
      </c>
      <c r="AC249" s="189" t="str">
        <f t="shared" si="166"/>
        <v>-</v>
      </c>
      <c r="AD249" s="189" t="str">
        <f t="shared" si="167"/>
        <v>-</v>
      </c>
      <c r="AE249" s="189" t="str">
        <f t="shared" si="168"/>
        <v>-</v>
      </c>
      <c r="AF249" s="189" t="str">
        <f t="shared" si="169"/>
        <v>-</v>
      </c>
      <c r="AG249" s="189" t="str">
        <f t="shared" si="170"/>
        <v>-</v>
      </c>
      <c r="AH249" s="189" t="str">
        <f t="shared" si="171"/>
        <v>-</v>
      </c>
      <c r="AI249" s="206" t="str">
        <f t="shared" si="174"/>
        <v>-</v>
      </c>
      <c r="AJ249" s="206" t="str">
        <f t="shared" si="174"/>
        <v>-</v>
      </c>
      <c r="AK249" s="189" t="str">
        <f t="shared" si="174"/>
        <v>-</v>
      </c>
      <c r="AL249" s="189" t="str">
        <f t="shared" si="174"/>
        <v>-</v>
      </c>
      <c r="AM249" s="219" t="str">
        <f t="shared" si="173"/>
        <v>-</v>
      </c>
      <c r="AN249" s="214" t="str">
        <f t="shared" si="173"/>
        <v>-</v>
      </c>
      <c r="AO249" s="214" t="str">
        <f t="shared" si="173"/>
        <v>-</v>
      </c>
      <c r="AP249" s="214" t="str">
        <f t="shared" si="173"/>
        <v>-</v>
      </c>
      <c r="AQ249"/>
      <c r="AR249"/>
      <c r="AS249"/>
      <c r="AT249"/>
      <c r="AU249"/>
      <c r="AV249"/>
      <c r="AW249"/>
      <c r="AX249"/>
      <c r="AY249"/>
      <c r="AZ249"/>
      <c r="BA249"/>
      <c r="BB249"/>
      <c r="BC249"/>
    </row>
    <row r="250" spans="1:55" ht="15" customHeight="1" x14ac:dyDescent="0.25">
      <c r="B250" s="62" t="s">
        <v>477</v>
      </c>
      <c r="C250" s="63"/>
      <c r="D250" s="124">
        <v>82480.770157247665</v>
      </c>
      <c r="E250" s="124">
        <v>64966.5</v>
      </c>
      <c r="F250" s="124">
        <v>-17514.270157247665</v>
      </c>
      <c r="G250" s="125">
        <f t="shared" si="162"/>
        <v>-0.26958925226459274</v>
      </c>
      <c r="H250" s="126">
        <v>105222.73992775196</v>
      </c>
      <c r="I250" s="127">
        <v>85935.232251140013</v>
      </c>
      <c r="J250" s="124">
        <v>-19287.507676611945</v>
      </c>
      <c r="K250" s="125">
        <f t="shared" si="163"/>
        <v>-0.22444237562825786</v>
      </c>
      <c r="N250" s="183" t="s">
        <v>477</v>
      </c>
      <c r="O250" s="184"/>
      <c r="P250" s="185">
        <v>76843.322662934093</v>
      </c>
      <c r="Q250" s="185">
        <v>59478.1875</v>
      </c>
      <c r="R250" s="185">
        <v>-17365.135162934093</v>
      </c>
      <c r="S250" s="186">
        <v>-0.29195804197856723</v>
      </c>
      <c r="T250" s="201">
        <v>97662.793828647031</v>
      </c>
      <c r="U250" s="187">
        <v>78355.259599017489</v>
      </c>
      <c r="V250" s="185">
        <v>-19307.534229629542</v>
      </c>
      <c r="W250" s="188">
        <v>-0.24641018775811244</v>
      </c>
      <c r="Z250" s="209" t="s">
        <v>477</v>
      </c>
      <c r="AA250" s="212">
        <f t="shared" ref="AA250:AH250" si="183">AVERAGE(AA216:AA249)</f>
        <v>82318.312512203163</v>
      </c>
      <c r="AB250" s="212">
        <f t="shared" si="183"/>
        <v>64575.677419354841</v>
      </c>
      <c r="AC250" s="212">
        <f t="shared" si="183"/>
        <v>105028.12843413631</v>
      </c>
      <c r="AD250" s="212">
        <f t="shared" si="183"/>
        <v>85494.90762907613</v>
      </c>
      <c r="AE250" s="212">
        <f t="shared" si="183"/>
        <v>76563.972605493938</v>
      </c>
      <c r="AF250" s="212">
        <f t="shared" si="183"/>
        <v>59298</v>
      </c>
      <c r="AG250" s="212">
        <f t="shared" si="183"/>
        <v>97375.476307893856</v>
      </c>
      <c r="AH250" s="212">
        <f t="shared" si="183"/>
        <v>78151.499559439995</v>
      </c>
      <c r="AI250" s="210">
        <f t="shared" si="174"/>
        <v>5754.339906709225</v>
      </c>
      <c r="AJ250" s="210">
        <f t="shared" si="174"/>
        <v>5277.6774193548408</v>
      </c>
      <c r="AK250" s="204">
        <f t="shared" si="174"/>
        <v>7652.6521262424503</v>
      </c>
      <c r="AL250" s="204">
        <f t="shared" si="174"/>
        <v>7343.4080696361343</v>
      </c>
      <c r="AM250" s="220">
        <f t="shared" ref="AM250:AP250" si="184">AI250/AE250</f>
        <v>7.5157279734676619E-2</v>
      </c>
      <c r="AN250" s="215">
        <f t="shared" si="184"/>
        <v>8.9002620988141948E-2</v>
      </c>
      <c r="AO250" s="215">
        <f t="shared" si="184"/>
        <v>7.8589111102731313E-2</v>
      </c>
      <c r="AP250" s="215">
        <f t="shared" si="184"/>
        <v>9.3963751316773259E-2</v>
      </c>
    </row>
    <row r="251" spans="1:55" ht="15" customHeight="1" x14ac:dyDescent="0.25">
      <c r="AI251" s="158"/>
      <c r="AJ251" s="158"/>
      <c r="AK251" s="159"/>
      <c r="AL251" s="159"/>
    </row>
    <row r="252" spans="1:55" x14ac:dyDescent="0.25">
      <c r="AI252" s="158"/>
      <c r="AJ252" s="158"/>
      <c r="AK252" s="159"/>
      <c r="AL252" s="159"/>
      <c r="AM252" s="159"/>
      <c r="AN252" s="159"/>
      <c r="AO252" s="159"/>
      <c r="AP252" s="159"/>
    </row>
    <row r="253" spans="1:55" ht="15" customHeight="1" x14ac:dyDescent="0.25">
      <c r="AA253" s="528"/>
      <c r="AB253" s="47"/>
      <c r="AC253" s="47"/>
      <c r="AD253" s="47"/>
      <c r="AE253" s="47"/>
      <c r="AF253" s="47"/>
      <c r="AG253" s="47"/>
      <c r="AH253" s="47"/>
      <c r="AI253" s="156" t="s">
        <v>926</v>
      </c>
      <c r="AJ253" s="158"/>
      <c r="AK253" s="159"/>
      <c r="AL253" s="159"/>
      <c r="AM253" s="156" t="s">
        <v>927</v>
      </c>
      <c r="AN253" s="157"/>
      <c r="AO253" s="157"/>
      <c r="AP253" s="157"/>
    </row>
    <row r="254" spans="1:55" ht="15" customHeight="1" x14ac:dyDescent="0.25">
      <c r="B254" s="110" t="s">
        <v>0</v>
      </c>
      <c r="C254" s="302" t="s">
        <v>765</v>
      </c>
      <c r="D254" s="303"/>
      <c r="E254" s="303"/>
      <c r="F254" s="304"/>
      <c r="G254" s="303"/>
      <c r="H254" s="303" t="s">
        <v>435</v>
      </c>
      <c r="I254" s="303"/>
      <c r="J254" s="303"/>
      <c r="K254" s="305"/>
      <c r="N254" s="293"/>
      <c r="O254" s="297" t="s">
        <v>693</v>
      </c>
      <c r="P254" s="296"/>
      <c r="Q254" s="296"/>
      <c r="R254" s="296"/>
      <c r="S254" s="296"/>
      <c r="T254" s="296" t="s">
        <v>700</v>
      </c>
      <c r="U254" s="296"/>
      <c r="V254" s="296"/>
      <c r="W254" s="296"/>
      <c r="Z254" s="293" t="s">
        <v>0</v>
      </c>
      <c r="AA254" s="156" t="s">
        <v>691</v>
      </c>
      <c r="AB254" s="526"/>
      <c r="AC254" s="526"/>
      <c r="AD254" s="526"/>
      <c r="AE254" s="526"/>
      <c r="AF254" s="526"/>
      <c r="AG254" s="526"/>
      <c r="AH254" s="526"/>
      <c r="AI254" s="526" t="s">
        <v>693</v>
      </c>
      <c r="AJ254" s="526"/>
      <c r="AK254" s="526" t="s">
        <v>700</v>
      </c>
      <c r="AL254" s="526"/>
      <c r="AM254" s="526" t="s">
        <v>693</v>
      </c>
      <c r="AN254" s="526"/>
      <c r="AO254" s="526" t="s">
        <v>700</v>
      </c>
      <c r="AP254" s="526"/>
    </row>
    <row r="255" spans="1:55" ht="15" customHeight="1" x14ac:dyDescent="0.25">
      <c r="B255" s="111" t="s">
        <v>679</v>
      </c>
      <c r="C255" s="113" t="s">
        <v>935</v>
      </c>
      <c r="D255" s="112" t="s">
        <v>733</v>
      </c>
      <c r="E255" s="130" t="s">
        <v>934</v>
      </c>
      <c r="F255" s="130" t="s">
        <v>936</v>
      </c>
      <c r="G255" s="130" t="s">
        <v>734</v>
      </c>
      <c r="H255" s="131" t="s">
        <v>733</v>
      </c>
      <c r="I255" s="130" t="s">
        <v>934</v>
      </c>
      <c r="J255" s="130" t="s">
        <v>936</v>
      </c>
      <c r="K255" s="132" t="s">
        <v>735</v>
      </c>
      <c r="N255" s="160" t="s">
        <v>679</v>
      </c>
      <c r="O255" s="161" t="s">
        <v>697</v>
      </c>
      <c r="P255" s="161" t="s">
        <v>733</v>
      </c>
      <c r="Q255" s="162" t="s">
        <v>698</v>
      </c>
      <c r="R255" s="162" t="s">
        <v>699</v>
      </c>
      <c r="S255" s="162" t="s">
        <v>734</v>
      </c>
      <c r="T255" s="200" t="s">
        <v>733</v>
      </c>
      <c r="U255" s="162" t="s">
        <v>698</v>
      </c>
      <c r="V255" s="162" t="s">
        <v>699</v>
      </c>
      <c r="W255" s="163" t="s">
        <v>735</v>
      </c>
      <c r="Z255" s="205" t="s">
        <v>679</v>
      </c>
      <c r="AA255" s="271" t="s">
        <v>922</v>
      </c>
      <c r="AB255" s="271" t="s">
        <v>923</v>
      </c>
      <c r="AC255" s="271" t="s">
        <v>924</v>
      </c>
      <c r="AD255" s="271" t="s">
        <v>925</v>
      </c>
      <c r="AE255" s="272" t="s">
        <v>928</v>
      </c>
      <c r="AF255" s="272" t="s">
        <v>929</v>
      </c>
      <c r="AG255" s="272" t="s">
        <v>930</v>
      </c>
      <c r="AH255" s="272" t="s">
        <v>931</v>
      </c>
      <c r="AI255" s="273" t="s">
        <v>687</v>
      </c>
      <c r="AJ255" s="273" t="s">
        <v>688</v>
      </c>
      <c r="AK255" s="273" t="s">
        <v>689</v>
      </c>
      <c r="AL255" s="273" t="s">
        <v>690</v>
      </c>
      <c r="AM255" s="218" t="s">
        <v>687</v>
      </c>
      <c r="AN255" s="273" t="s">
        <v>688</v>
      </c>
      <c r="AO255" s="273" t="s">
        <v>689</v>
      </c>
      <c r="AP255" s="273" t="s">
        <v>690</v>
      </c>
    </row>
    <row r="256" spans="1:55" ht="15.75" x14ac:dyDescent="0.25">
      <c r="A256" s="15">
        <v>1200</v>
      </c>
      <c r="B256" s="56" t="s">
        <v>201</v>
      </c>
      <c r="C256" s="285">
        <v>21</v>
      </c>
      <c r="D256" s="286">
        <v>76441.452275664124</v>
      </c>
      <c r="E256" s="287">
        <v>63258</v>
      </c>
      <c r="F256" s="287">
        <v>-13183.452275664124</v>
      </c>
      <c r="G256" s="133">
        <f t="shared" ref="G256:G271" si="185">IFERROR(F256/E256,"--")</f>
        <v>-0.20840766821056822</v>
      </c>
      <c r="H256" s="276">
        <v>99211.19222696012</v>
      </c>
      <c r="I256" s="275">
        <v>84010.331659279997</v>
      </c>
      <c r="J256" s="287">
        <v>-15200.860567680123</v>
      </c>
      <c r="K256" s="133">
        <f t="shared" ref="K256:K271" si="186">IFERROR(J256/I256,"--")</f>
        <v>-0.18094037087402687</v>
      </c>
      <c r="N256" s="164" t="s">
        <v>201</v>
      </c>
      <c r="O256" s="288">
        <v>17</v>
      </c>
      <c r="P256" s="289">
        <v>71472.922006341221</v>
      </c>
      <c r="Q256" s="290">
        <v>54696</v>
      </c>
      <c r="R256" s="290">
        <v>-16776.922006341221</v>
      </c>
      <c r="S256" s="181">
        <v>-0.3067303277450128</v>
      </c>
      <c r="T256" s="291">
        <v>92321.145077544032</v>
      </c>
      <c r="U256" s="277">
        <v>72947.455426879998</v>
      </c>
      <c r="V256" s="290">
        <v>-19373.689650664033</v>
      </c>
      <c r="W256" s="182">
        <v>-0.26558417339290946</v>
      </c>
      <c r="Z256" s="292" t="s">
        <v>201</v>
      </c>
      <c r="AA256" s="189">
        <f t="shared" ref="AA256:AA270" si="187">IF($D256="-","-",IF($P256="-","-",D256))</f>
        <v>76441.452275664124</v>
      </c>
      <c r="AB256" s="189">
        <f t="shared" ref="AB256:AB270" si="188">IF($D256="-","-",IF($P256="-","-",E256))</f>
        <v>63258</v>
      </c>
      <c r="AC256" s="189">
        <f t="shared" ref="AC256:AC270" si="189">IF($D256="-","-",IF($P256="-","-",H256))</f>
        <v>99211.19222696012</v>
      </c>
      <c r="AD256" s="189">
        <f t="shared" ref="AD256:AD270" si="190">IF($D256="-","-",IF($P256="-","-",I256))</f>
        <v>84010.331659279997</v>
      </c>
      <c r="AE256" s="189">
        <f t="shared" ref="AE256:AE270" si="191">IF($D256="-","-",IF($P256="-","-",P256))</f>
        <v>71472.922006341221</v>
      </c>
      <c r="AF256" s="189">
        <f t="shared" ref="AF256:AF270" si="192">IF($D256="-","-",IF($P256="-","-",Q256))</f>
        <v>54696</v>
      </c>
      <c r="AG256" s="189">
        <f t="shared" ref="AG256:AG270" si="193">IF($D256="-","-",IF($P256="-","-",T256))</f>
        <v>92321.145077544032</v>
      </c>
      <c r="AH256" s="189">
        <f t="shared" ref="AH256:AH270" si="194">IF($D256="-","-",IF($P256="-","-",U256))</f>
        <v>72947.455426879998</v>
      </c>
      <c r="AI256" s="206">
        <f t="shared" ref="AI256:AL271" si="195">IFERROR(AA256-AE256,"-")</f>
        <v>4968.5302693229023</v>
      </c>
      <c r="AJ256" s="206">
        <f t="shared" si="195"/>
        <v>8562</v>
      </c>
      <c r="AK256" s="189">
        <f t="shared" si="195"/>
        <v>6890.0471494160884</v>
      </c>
      <c r="AL256" s="189">
        <f t="shared" si="195"/>
        <v>11062.876232399998</v>
      </c>
      <c r="AM256" s="219">
        <f t="shared" ref="AM256:AP270" si="196">IFERROR(AI256/AE256,"-")</f>
        <v>6.9516260562036122E-2</v>
      </c>
      <c r="AN256" s="214">
        <f t="shared" si="196"/>
        <v>0.15653795524352787</v>
      </c>
      <c r="AO256" s="214">
        <f t="shared" si="196"/>
        <v>7.4631300810111018E-2</v>
      </c>
      <c r="AP256" s="214">
        <f t="shared" si="196"/>
        <v>0.15165540960491819</v>
      </c>
    </row>
    <row r="257" spans="1:55" ht="15" customHeight="1" x14ac:dyDescent="0.25">
      <c r="A257" s="15">
        <v>1201</v>
      </c>
      <c r="B257" s="56" t="s">
        <v>202</v>
      </c>
      <c r="C257" s="285">
        <v>9</v>
      </c>
      <c r="D257" s="286">
        <v>62636.243137254896</v>
      </c>
      <c r="E257" s="287">
        <v>50766</v>
      </c>
      <c r="F257" s="287">
        <v>-11870.243137254896</v>
      </c>
      <c r="G257" s="133">
        <f t="shared" si="185"/>
        <v>-0.23382269899647198</v>
      </c>
      <c r="H257" s="276">
        <v>85022.807328816692</v>
      </c>
      <c r="I257" s="275">
        <v>69936.080448559995</v>
      </c>
      <c r="J257" s="287">
        <v>-15086.726880256698</v>
      </c>
      <c r="K257" s="133">
        <f t="shared" si="186"/>
        <v>-0.21572165302219676</v>
      </c>
      <c r="N257" s="164" t="s">
        <v>202</v>
      </c>
      <c r="O257" s="288">
        <v>7</v>
      </c>
      <c r="P257" s="289">
        <v>59593.289527720735</v>
      </c>
      <c r="Q257" s="290">
        <v>47274</v>
      </c>
      <c r="R257" s="290">
        <v>-12319.289527720735</v>
      </c>
      <c r="S257" s="181">
        <v>-0.26059333941956964</v>
      </c>
      <c r="T257" s="291">
        <v>81560.611752144527</v>
      </c>
      <c r="U257" s="277">
        <v>64554.492464720002</v>
      </c>
      <c r="V257" s="290">
        <v>-17006.119287424524</v>
      </c>
      <c r="W257" s="182">
        <v>-0.26343819985446593</v>
      </c>
      <c r="Z257" s="292" t="s">
        <v>202</v>
      </c>
      <c r="AA257" s="189">
        <f t="shared" si="187"/>
        <v>62636.243137254896</v>
      </c>
      <c r="AB257" s="189">
        <f t="shared" si="188"/>
        <v>50766</v>
      </c>
      <c r="AC257" s="189">
        <f t="shared" si="189"/>
        <v>85022.807328816692</v>
      </c>
      <c r="AD257" s="189">
        <f t="shared" si="190"/>
        <v>69936.080448559995</v>
      </c>
      <c r="AE257" s="189">
        <f t="shared" si="191"/>
        <v>59593.289527720735</v>
      </c>
      <c r="AF257" s="189">
        <f t="shared" si="192"/>
        <v>47274</v>
      </c>
      <c r="AG257" s="189">
        <f t="shared" si="193"/>
        <v>81560.611752144527</v>
      </c>
      <c r="AH257" s="189">
        <f t="shared" si="194"/>
        <v>64554.492464720002</v>
      </c>
      <c r="AI257" s="206">
        <f t="shared" si="195"/>
        <v>3042.9536095341609</v>
      </c>
      <c r="AJ257" s="206">
        <f t="shared" si="195"/>
        <v>3492</v>
      </c>
      <c r="AK257" s="189">
        <f t="shared" si="195"/>
        <v>3462.1955766721658</v>
      </c>
      <c r="AL257" s="189">
        <f t="shared" si="195"/>
        <v>5381.5879838399924</v>
      </c>
      <c r="AM257" s="219">
        <f t="shared" si="196"/>
        <v>5.1062017781694773E-2</v>
      </c>
      <c r="AN257" s="214">
        <f t="shared" si="196"/>
        <v>7.3867242035791342E-2</v>
      </c>
      <c r="AO257" s="214">
        <f t="shared" si="196"/>
        <v>4.2449357628575317E-2</v>
      </c>
      <c r="AP257" s="214">
        <f t="shared" si="196"/>
        <v>8.3365042127488048E-2</v>
      </c>
    </row>
    <row r="258" spans="1:55" ht="15" customHeight="1" x14ac:dyDescent="0.25">
      <c r="A258" s="15">
        <v>1202</v>
      </c>
      <c r="B258" s="56" t="s">
        <v>203</v>
      </c>
      <c r="C258" s="285">
        <v>9</v>
      </c>
      <c r="D258" s="286">
        <v>96345.589519650661</v>
      </c>
      <c r="E258" s="287">
        <v>57306</v>
      </c>
      <c r="F258" s="287">
        <v>-39039.589519650661</v>
      </c>
      <c r="G258" s="133">
        <f t="shared" si="185"/>
        <v>-0.6812478539707999</v>
      </c>
      <c r="H258" s="276">
        <v>120690.23879591728</v>
      </c>
      <c r="I258" s="275">
        <v>77304.444434959994</v>
      </c>
      <c r="J258" s="287">
        <v>-43385.794360957283</v>
      </c>
      <c r="K258" s="133">
        <f t="shared" si="186"/>
        <v>-0.56123285896530661</v>
      </c>
      <c r="N258" s="164" t="s">
        <v>203</v>
      </c>
      <c r="O258" s="288">
        <v>7</v>
      </c>
      <c r="P258" s="289">
        <v>76163.93275488069</v>
      </c>
      <c r="Q258" s="290">
        <v>53364</v>
      </c>
      <c r="R258" s="290">
        <v>-22799.93275488069</v>
      </c>
      <c r="S258" s="181">
        <v>-0.42725306863954521</v>
      </c>
      <c r="T258" s="291">
        <v>99437.172283416294</v>
      </c>
      <c r="U258" s="277">
        <v>71441.200149919998</v>
      </c>
      <c r="V258" s="290">
        <v>-27995.972133496296</v>
      </c>
      <c r="W258" s="182">
        <v>-0.39187432566567326</v>
      </c>
      <c r="Z258" s="292" t="s">
        <v>203</v>
      </c>
      <c r="AA258" s="189">
        <f t="shared" si="187"/>
        <v>96345.589519650661</v>
      </c>
      <c r="AB258" s="189">
        <f t="shared" si="188"/>
        <v>57306</v>
      </c>
      <c r="AC258" s="189">
        <f t="shared" si="189"/>
        <v>120690.23879591728</v>
      </c>
      <c r="AD258" s="189">
        <f t="shared" si="190"/>
        <v>77304.444434959994</v>
      </c>
      <c r="AE258" s="189">
        <f t="shared" si="191"/>
        <v>76163.93275488069</v>
      </c>
      <c r="AF258" s="189">
        <f t="shared" si="192"/>
        <v>53364</v>
      </c>
      <c r="AG258" s="189">
        <f t="shared" si="193"/>
        <v>99437.172283416294</v>
      </c>
      <c r="AH258" s="189">
        <f t="shared" si="194"/>
        <v>71441.200149919998</v>
      </c>
      <c r="AI258" s="206">
        <f t="shared" si="195"/>
        <v>20181.65676476997</v>
      </c>
      <c r="AJ258" s="206">
        <f t="shared" si="195"/>
        <v>3942</v>
      </c>
      <c r="AK258" s="189">
        <f t="shared" si="195"/>
        <v>21253.066512500984</v>
      </c>
      <c r="AL258" s="189">
        <f t="shared" si="195"/>
        <v>5863.2442850399966</v>
      </c>
      <c r="AM258" s="219">
        <f t="shared" si="196"/>
        <v>0.26497655825784155</v>
      </c>
      <c r="AN258" s="214">
        <f t="shared" si="196"/>
        <v>7.3870024735776932E-2</v>
      </c>
      <c r="AO258" s="214">
        <f t="shared" si="196"/>
        <v>0.2137336171620548</v>
      </c>
      <c r="AP258" s="214">
        <f t="shared" si="196"/>
        <v>8.207090968147128E-2</v>
      </c>
    </row>
    <row r="259" spans="1:55" s="14" customFormat="1" ht="15" customHeight="1" x14ac:dyDescent="0.25">
      <c r="A259" s="15">
        <v>1203</v>
      </c>
      <c r="B259" s="56" t="s">
        <v>204</v>
      </c>
      <c r="C259" s="285">
        <v>15</v>
      </c>
      <c r="D259" s="286">
        <v>97338.155038759694</v>
      </c>
      <c r="E259" s="287">
        <v>77082</v>
      </c>
      <c r="F259" s="287">
        <v>-20256.155038759694</v>
      </c>
      <c r="G259" s="133">
        <f t="shared" si="185"/>
        <v>-0.26278709736072875</v>
      </c>
      <c r="H259" s="276">
        <v>121600.63527070743</v>
      </c>
      <c r="I259" s="275">
        <v>99585.295535120007</v>
      </c>
      <c r="J259" s="287">
        <v>-22015.339735587419</v>
      </c>
      <c r="K259" s="133">
        <f t="shared" si="186"/>
        <v>-0.2210701852847686</v>
      </c>
      <c r="L259"/>
      <c r="N259" s="164" t="s">
        <v>204</v>
      </c>
      <c r="O259" s="288">
        <v>13</v>
      </c>
      <c r="P259" s="289">
        <v>93040.112790317318</v>
      </c>
      <c r="Q259" s="290">
        <v>71784</v>
      </c>
      <c r="R259" s="290">
        <v>-21256.112790317318</v>
      </c>
      <c r="S259" s="181">
        <v>-0.29611212512979657</v>
      </c>
      <c r="T259" s="291">
        <v>118333.28213348576</v>
      </c>
      <c r="U259" s="277">
        <v>92270.946547519998</v>
      </c>
      <c r="V259" s="290">
        <v>-26062.33558596576</v>
      </c>
      <c r="W259" s="182">
        <v>-0.28245440803561639</v>
      </c>
      <c r="Z259" s="292" t="s">
        <v>204</v>
      </c>
      <c r="AA259" s="189">
        <f t="shared" si="187"/>
        <v>97338.155038759694</v>
      </c>
      <c r="AB259" s="189">
        <f t="shared" si="188"/>
        <v>77082</v>
      </c>
      <c r="AC259" s="189">
        <f t="shared" si="189"/>
        <v>121600.63527070743</v>
      </c>
      <c r="AD259" s="189">
        <f t="shared" si="190"/>
        <v>99585.295535120007</v>
      </c>
      <c r="AE259" s="189">
        <f t="shared" si="191"/>
        <v>93040.112790317318</v>
      </c>
      <c r="AF259" s="189">
        <f t="shared" si="192"/>
        <v>71784</v>
      </c>
      <c r="AG259" s="189">
        <f t="shared" si="193"/>
        <v>118333.28213348576</v>
      </c>
      <c r="AH259" s="189">
        <f t="shared" si="194"/>
        <v>92270.946547519998</v>
      </c>
      <c r="AI259" s="206">
        <f t="shared" si="195"/>
        <v>4298.0422484423761</v>
      </c>
      <c r="AJ259" s="206">
        <f t="shared" si="195"/>
        <v>5298</v>
      </c>
      <c r="AK259" s="189">
        <f t="shared" si="195"/>
        <v>3267.3531372216676</v>
      </c>
      <c r="AL259" s="189">
        <f t="shared" si="195"/>
        <v>7314.3489876000094</v>
      </c>
      <c r="AM259" s="219">
        <f t="shared" si="196"/>
        <v>4.61955829538684E-2</v>
      </c>
      <c r="AN259" s="214">
        <f t="shared" si="196"/>
        <v>7.3804747576061522E-2</v>
      </c>
      <c r="AO259" s="214">
        <f t="shared" si="196"/>
        <v>2.7611446909213019E-2</v>
      </c>
      <c r="AP259" s="214">
        <f t="shared" si="196"/>
        <v>7.9270336560740534E-2</v>
      </c>
      <c r="AQ259"/>
      <c r="AR259"/>
      <c r="AS259"/>
      <c r="AT259"/>
      <c r="AU259"/>
      <c r="AV259"/>
      <c r="AW259"/>
      <c r="AX259"/>
      <c r="AY259"/>
      <c r="AZ259"/>
      <c r="BA259"/>
      <c r="BB259"/>
      <c r="BC259"/>
    </row>
    <row r="260" spans="1:55" ht="15" customHeight="1" x14ac:dyDescent="0.25">
      <c r="A260" s="15">
        <v>1204</v>
      </c>
      <c r="B260" s="56" t="s">
        <v>205</v>
      </c>
      <c r="C260" s="285">
        <v>17</v>
      </c>
      <c r="D260" s="286">
        <v>55036.977018153935</v>
      </c>
      <c r="E260" s="287">
        <v>54582</v>
      </c>
      <c r="F260" s="287">
        <v>-454.97701815393521</v>
      </c>
      <c r="G260" s="133">
        <f t="shared" si="185"/>
        <v>-8.3356604403271254E-3</v>
      </c>
      <c r="H260" s="276">
        <v>76605.186946297588</v>
      </c>
      <c r="I260" s="275">
        <v>74235.419435119999</v>
      </c>
      <c r="J260" s="287">
        <v>-2369.7675111775898</v>
      </c>
      <c r="K260" s="133">
        <f t="shared" si="186"/>
        <v>-3.1922329384138665E-2</v>
      </c>
      <c r="N260" s="164" t="s">
        <v>205</v>
      </c>
      <c r="O260" s="288">
        <v>14</v>
      </c>
      <c r="P260" s="289">
        <v>47021.142275219114</v>
      </c>
      <c r="Q260" s="290">
        <v>47274</v>
      </c>
      <c r="R260" s="290">
        <v>252.8577247808862</v>
      </c>
      <c r="S260" s="181">
        <v>5.3487694034963446E-3</v>
      </c>
      <c r="T260" s="291">
        <v>66790.712795923624</v>
      </c>
      <c r="U260" s="277">
        <v>64554.492464720002</v>
      </c>
      <c r="V260" s="290">
        <v>-2236.2203312036218</v>
      </c>
      <c r="W260" s="182">
        <v>-3.4640816553948586E-2</v>
      </c>
      <c r="Z260" s="292" t="s">
        <v>205</v>
      </c>
      <c r="AA260" s="189">
        <f t="shared" si="187"/>
        <v>55036.977018153935</v>
      </c>
      <c r="AB260" s="189">
        <f t="shared" si="188"/>
        <v>54582</v>
      </c>
      <c r="AC260" s="189">
        <f t="shared" si="189"/>
        <v>76605.186946297588</v>
      </c>
      <c r="AD260" s="189">
        <f t="shared" si="190"/>
        <v>74235.419435119999</v>
      </c>
      <c r="AE260" s="189">
        <f t="shared" si="191"/>
        <v>47021.142275219114</v>
      </c>
      <c r="AF260" s="189">
        <f t="shared" si="192"/>
        <v>47274</v>
      </c>
      <c r="AG260" s="189">
        <f t="shared" si="193"/>
        <v>66790.712795923624</v>
      </c>
      <c r="AH260" s="189">
        <f t="shared" si="194"/>
        <v>64554.492464720002</v>
      </c>
      <c r="AI260" s="206">
        <f t="shared" si="195"/>
        <v>8015.8347429348214</v>
      </c>
      <c r="AJ260" s="206">
        <f t="shared" si="195"/>
        <v>7308</v>
      </c>
      <c r="AK260" s="189">
        <f t="shared" si="195"/>
        <v>9814.4741503739642</v>
      </c>
      <c r="AL260" s="189">
        <f t="shared" si="195"/>
        <v>9680.9269703999962</v>
      </c>
      <c r="AM260" s="219">
        <f t="shared" si="196"/>
        <v>0.17047299055427867</v>
      </c>
      <c r="AN260" s="214">
        <f t="shared" si="196"/>
        <v>0.15458814570376953</v>
      </c>
      <c r="AO260" s="214">
        <f t="shared" si="196"/>
        <v>0.14694369530628759</v>
      </c>
      <c r="AP260" s="214">
        <f t="shared" si="196"/>
        <v>0.14996519375767331</v>
      </c>
    </row>
    <row r="261" spans="1:55" ht="15" customHeight="1" x14ac:dyDescent="0.25">
      <c r="A261" s="15">
        <v>1207</v>
      </c>
      <c r="B261" s="56" t="s">
        <v>206</v>
      </c>
      <c r="C261" s="285">
        <v>9</v>
      </c>
      <c r="D261" s="286">
        <v>83400.040951396077</v>
      </c>
      <c r="E261" s="287">
        <v>63258</v>
      </c>
      <c r="F261" s="287">
        <v>-20142.040951396077</v>
      </c>
      <c r="G261" s="133">
        <f t="shared" si="185"/>
        <v>-0.31841096701438676</v>
      </c>
      <c r="H261" s="276">
        <v>107744.69022766269</v>
      </c>
      <c r="I261" s="275">
        <v>84010.331659279997</v>
      </c>
      <c r="J261" s="287">
        <v>-23734.358568382697</v>
      </c>
      <c r="K261" s="133">
        <f t="shared" si="186"/>
        <v>-0.28251713925665639</v>
      </c>
      <c r="N261" s="164" t="s">
        <v>206</v>
      </c>
      <c r="O261" s="288">
        <v>10</v>
      </c>
      <c r="P261" s="289">
        <v>79806.277002053379</v>
      </c>
      <c r="Q261" s="290">
        <v>58908</v>
      </c>
      <c r="R261" s="290">
        <v>-20898.277002053379</v>
      </c>
      <c r="S261" s="181">
        <v>-0.35476127184853296</v>
      </c>
      <c r="T261" s="291">
        <v>102732.68045061201</v>
      </c>
      <c r="U261" s="277">
        <v>77710.478870239996</v>
      </c>
      <c r="V261" s="290">
        <v>-25022.201580372013</v>
      </c>
      <c r="W261" s="182">
        <v>-0.32199263142045204</v>
      </c>
      <c r="Z261" s="292" t="s">
        <v>206</v>
      </c>
      <c r="AA261" s="189">
        <f t="shared" si="187"/>
        <v>83400.040951396077</v>
      </c>
      <c r="AB261" s="189">
        <f t="shared" si="188"/>
        <v>63258</v>
      </c>
      <c r="AC261" s="189">
        <f t="shared" si="189"/>
        <v>107744.69022766269</v>
      </c>
      <c r="AD261" s="189">
        <f t="shared" si="190"/>
        <v>84010.331659279997</v>
      </c>
      <c r="AE261" s="189">
        <f t="shared" si="191"/>
        <v>79806.277002053379</v>
      </c>
      <c r="AF261" s="189">
        <f t="shared" si="192"/>
        <v>58908</v>
      </c>
      <c r="AG261" s="189">
        <f t="shared" si="193"/>
        <v>102732.68045061201</v>
      </c>
      <c r="AH261" s="189">
        <f t="shared" si="194"/>
        <v>77710.478870239996</v>
      </c>
      <c r="AI261" s="206">
        <f t="shared" si="195"/>
        <v>3593.7639493426977</v>
      </c>
      <c r="AJ261" s="206">
        <f t="shared" si="195"/>
        <v>4350</v>
      </c>
      <c r="AK261" s="189">
        <f t="shared" si="195"/>
        <v>5012.0097770506836</v>
      </c>
      <c r="AL261" s="189">
        <f t="shared" si="195"/>
        <v>6299.8527890400001</v>
      </c>
      <c r="AM261" s="219">
        <f t="shared" si="196"/>
        <v>4.503109384804696E-2</v>
      </c>
      <c r="AN261" s="214">
        <f t="shared" si="196"/>
        <v>7.3843960073334686E-2</v>
      </c>
      <c r="AO261" s="214">
        <f t="shared" si="196"/>
        <v>4.8786907487147389E-2</v>
      </c>
      <c r="AP261" s="214">
        <f t="shared" si="196"/>
        <v>8.1068253350483357E-2</v>
      </c>
    </row>
    <row r="262" spans="1:55" ht="15.75" x14ac:dyDescent="0.25">
      <c r="A262" s="15">
        <v>1208</v>
      </c>
      <c r="B262" s="56" t="s">
        <v>207</v>
      </c>
      <c r="C262" s="285">
        <v>14</v>
      </c>
      <c r="D262" s="286">
        <v>54900</v>
      </c>
      <c r="E262" s="287">
        <v>54582</v>
      </c>
      <c r="F262" s="287">
        <v>-318</v>
      </c>
      <c r="G262" s="133">
        <f t="shared" si="185"/>
        <v>-5.8260965153347256E-3</v>
      </c>
      <c r="H262" s="276">
        <v>74732.96687480218</v>
      </c>
      <c r="I262" s="275">
        <v>74235.419435119999</v>
      </c>
      <c r="J262" s="287">
        <v>-497.54743968218099</v>
      </c>
      <c r="K262" s="133">
        <f t="shared" si="186"/>
        <v>-6.7022917559861799E-3</v>
      </c>
      <c r="N262" s="164" t="s">
        <v>207</v>
      </c>
      <c r="O262" s="288">
        <v>13</v>
      </c>
      <c r="P262" s="289">
        <v>48355.8</v>
      </c>
      <c r="Q262" s="290">
        <v>47274</v>
      </c>
      <c r="R262" s="290">
        <v>-1081.8000000000029</v>
      </c>
      <c r="S262" s="181">
        <v>-2.2883614671912741E-2</v>
      </c>
      <c r="T262" s="291">
        <v>65567.254127120003</v>
      </c>
      <c r="U262" s="277">
        <v>64554.492464720002</v>
      </c>
      <c r="V262" s="290">
        <v>-1012.7616624000002</v>
      </c>
      <c r="W262" s="182">
        <v>-1.5688476877941372E-2</v>
      </c>
      <c r="Z262" s="292" t="s">
        <v>207</v>
      </c>
      <c r="AA262" s="189">
        <f t="shared" si="187"/>
        <v>54900</v>
      </c>
      <c r="AB262" s="189">
        <f t="shared" si="188"/>
        <v>54582</v>
      </c>
      <c r="AC262" s="189">
        <f t="shared" si="189"/>
        <v>74732.96687480218</v>
      </c>
      <c r="AD262" s="189">
        <f t="shared" si="190"/>
        <v>74235.419435119999</v>
      </c>
      <c r="AE262" s="189">
        <f t="shared" si="191"/>
        <v>48355.8</v>
      </c>
      <c r="AF262" s="189">
        <f t="shared" si="192"/>
        <v>47274</v>
      </c>
      <c r="AG262" s="189">
        <f t="shared" si="193"/>
        <v>65567.254127120003</v>
      </c>
      <c r="AH262" s="189">
        <f t="shared" si="194"/>
        <v>64554.492464720002</v>
      </c>
      <c r="AI262" s="206">
        <f t="shared" si="195"/>
        <v>6544.1999999999971</v>
      </c>
      <c r="AJ262" s="206">
        <f t="shared" si="195"/>
        <v>7308</v>
      </c>
      <c r="AK262" s="189">
        <f t="shared" si="195"/>
        <v>9165.712747682177</v>
      </c>
      <c r="AL262" s="189">
        <f t="shared" si="195"/>
        <v>9680.9269703999962</v>
      </c>
      <c r="AM262" s="219">
        <f t="shared" si="196"/>
        <v>0.13533433424739114</v>
      </c>
      <c r="AN262" s="214">
        <f t="shared" si="196"/>
        <v>0.15458814570376953</v>
      </c>
      <c r="AO262" s="214">
        <f t="shared" si="196"/>
        <v>0.139791011072569</v>
      </c>
      <c r="AP262" s="214">
        <f t="shared" si="196"/>
        <v>0.14996519375767331</v>
      </c>
    </row>
    <row r="263" spans="1:55" ht="15" customHeight="1" x14ac:dyDescent="0.25">
      <c r="A263" s="15">
        <v>1209</v>
      </c>
      <c r="B263" s="56" t="s">
        <v>208</v>
      </c>
      <c r="C263" s="285">
        <v>13</v>
      </c>
      <c r="D263" s="286">
        <v>75768.604999999996</v>
      </c>
      <c r="E263" s="287">
        <v>61710</v>
      </c>
      <c r="F263" s="287">
        <v>-14058.604999999996</v>
      </c>
      <c r="G263" s="133">
        <f t="shared" si="185"/>
        <v>-0.22781729055258459</v>
      </c>
      <c r="H263" s="276">
        <v>99476.163869106269</v>
      </c>
      <c r="I263" s="275">
        <v>82266.260183599996</v>
      </c>
      <c r="J263" s="287">
        <v>-17209.903685506273</v>
      </c>
      <c r="K263" s="133">
        <f t="shared" si="186"/>
        <v>-0.20919759385071834</v>
      </c>
      <c r="N263" s="164" t="s">
        <v>208</v>
      </c>
      <c r="O263" s="288">
        <v>11</v>
      </c>
      <c r="P263" s="289">
        <v>68185.8</v>
      </c>
      <c r="Q263" s="290">
        <v>57462</v>
      </c>
      <c r="R263" s="290">
        <v>-10723.800000000003</v>
      </c>
      <c r="S263" s="181">
        <v>-0.18662420382165609</v>
      </c>
      <c r="T263" s="291">
        <v>89457.058175118407</v>
      </c>
      <c r="U263" s="277">
        <v>76075.309853359999</v>
      </c>
      <c r="V263" s="290">
        <v>-13381.748321758409</v>
      </c>
      <c r="W263" s="182">
        <v>-0.17590133181912213</v>
      </c>
      <c r="Z263" s="292" t="s">
        <v>208</v>
      </c>
      <c r="AA263" s="189">
        <f t="shared" si="187"/>
        <v>75768.604999999996</v>
      </c>
      <c r="AB263" s="189">
        <f t="shared" si="188"/>
        <v>61710</v>
      </c>
      <c r="AC263" s="189">
        <f t="shared" si="189"/>
        <v>99476.163869106269</v>
      </c>
      <c r="AD263" s="189">
        <f t="shared" si="190"/>
        <v>82266.260183599996</v>
      </c>
      <c r="AE263" s="189">
        <f t="shared" si="191"/>
        <v>68185.8</v>
      </c>
      <c r="AF263" s="189">
        <f t="shared" si="192"/>
        <v>57462</v>
      </c>
      <c r="AG263" s="189">
        <f t="shared" si="193"/>
        <v>89457.058175118407</v>
      </c>
      <c r="AH263" s="189">
        <f t="shared" si="194"/>
        <v>76075.309853359999</v>
      </c>
      <c r="AI263" s="206">
        <f t="shared" si="195"/>
        <v>7582.804999999993</v>
      </c>
      <c r="AJ263" s="206">
        <f t="shared" si="195"/>
        <v>4248</v>
      </c>
      <c r="AK263" s="189">
        <f t="shared" si="195"/>
        <v>10019.105693987862</v>
      </c>
      <c r="AL263" s="189">
        <f t="shared" si="195"/>
        <v>6190.9503302399971</v>
      </c>
      <c r="AM263" s="219">
        <f t="shared" si="196"/>
        <v>0.11120797878737204</v>
      </c>
      <c r="AN263" s="214">
        <f t="shared" si="196"/>
        <v>7.392711705126867E-2</v>
      </c>
      <c r="AO263" s="214">
        <f t="shared" si="196"/>
        <v>0.11199905181740681</v>
      </c>
      <c r="AP263" s="214">
        <f t="shared" si="196"/>
        <v>8.1379232528575277E-2</v>
      </c>
    </row>
    <row r="264" spans="1:55" ht="15" customHeight="1" x14ac:dyDescent="0.25">
      <c r="A264" s="15">
        <v>1210</v>
      </c>
      <c r="B264" s="56" t="s">
        <v>209</v>
      </c>
      <c r="C264" s="285">
        <v>14</v>
      </c>
      <c r="D264" s="286">
        <v>89842.899335257142</v>
      </c>
      <c r="E264" s="287">
        <v>82992</v>
      </c>
      <c r="F264" s="287">
        <v>-6850.8993352571415</v>
      </c>
      <c r="G264" s="133">
        <f t="shared" si="185"/>
        <v>-8.2548912368145627E-2</v>
      </c>
      <c r="H264" s="276">
        <v>112768.1722377299</v>
      </c>
      <c r="I264" s="275">
        <v>106243.86299071999</v>
      </c>
      <c r="J264" s="287">
        <v>-6524.3092470099073</v>
      </c>
      <c r="K264" s="133">
        <f t="shared" si="186"/>
        <v>-6.1408810479526531E-2</v>
      </c>
      <c r="N264" s="164" t="s">
        <v>209</v>
      </c>
      <c r="O264" s="288">
        <v>12</v>
      </c>
      <c r="P264" s="289">
        <v>85346.986124872841</v>
      </c>
      <c r="Q264" s="290">
        <v>77286</v>
      </c>
      <c r="R264" s="290">
        <v>-8060.9861248728412</v>
      </c>
      <c r="S264" s="181">
        <v>-0.10430072878493959</v>
      </c>
      <c r="T264" s="291">
        <v>107624.56256693293</v>
      </c>
      <c r="U264" s="277">
        <v>98492.730732080003</v>
      </c>
      <c r="V264" s="290">
        <v>-9131.8318348529283</v>
      </c>
      <c r="W264" s="182">
        <v>-9.2715795033578102E-2</v>
      </c>
      <c r="Z264" s="292" t="s">
        <v>209</v>
      </c>
      <c r="AA264" s="189">
        <f t="shared" si="187"/>
        <v>89842.899335257142</v>
      </c>
      <c r="AB264" s="189">
        <f t="shared" si="188"/>
        <v>82992</v>
      </c>
      <c r="AC264" s="189">
        <f t="shared" si="189"/>
        <v>112768.1722377299</v>
      </c>
      <c r="AD264" s="189">
        <f t="shared" si="190"/>
        <v>106243.86299071999</v>
      </c>
      <c r="AE264" s="189">
        <f t="shared" si="191"/>
        <v>85346.986124872841</v>
      </c>
      <c r="AF264" s="189">
        <f t="shared" si="192"/>
        <v>77286</v>
      </c>
      <c r="AG264" s="189">
        <f t="shared" si="193"/>
        <v>107624.56256693293</v>
      </c>
      <c r="AH264" s="189">
        <f t="shared" si="194"/>
        <v>98492.730732080003</v>
      </c>
      <c r="AI264" s="206">
        <f t="shared" si="195"/>
        <v>4495.9132103843003</v>
      </c>
      <c r="AJ264" s="206">
        <f t="shared" si="195"/>
        <v>5706</v>
      </c>
      <c r="AK264" s="189">
        <f t="shared" si="195"/>
        <v>5143.60967079697</v>
      </c>
      <c r="AL264" s="189">
        <f t="shared" si="195"/>
        <v>7751.1322586399911</v>
      </c>
      <c r="AM264" s="219">
        <f t="shared" si="196"/>
        <v>5.2678054779886921E-2</v>
      </c>
      <c r="AN264" s="214">
        <f t="shared" si="196"/>
        <v>7.38296716093471E-2</v>
      </c>
      <c r="AO264" s="214">
        <f t="shared" si="196"/>
        <v>4.7792154022443536E-2</v>
      </c>
      <c r="AP264" s="214">
        <f t="shared" si="196"/>
        <v>7.869750590756415E-2</v>
      </c>
    </row>
    <row r="265" spans="1:55" ht="15" customHeight="1" x14ac:dyDescent="0.25">
      <c r="A265" s="15">
        <v>1211</v>
      </c>
      <c r="B265" s="56" t="s">
        <v>210</v>
      </c>
      <c r="C265" s="285">
        <v>16</v>
      </c>
      <c r="D265" s="286">
        <v>112090.46318717682</v>
      </c>
      <c r="E265" s="287">
        <v>80970</v>
      </c>
      <c r="F265" s="287">
        <v>-31120.463187176822</v>
      </c>
      <c r="G265" s="133">
        <f t="shared" si="185"/>
        <v>-0.38434559944642238</v>
      </c>
      <c r="H265" s="276">
        <v>138874.55344333505</v>
      </c>
      <c r="I265" s="275">
        <v>103965.75412520001</v>
      </c>
      <c r="J265" s="287">
        <v>-34908.799318135047</v>
      </c>
      <c r="K265" s="133">
        <f t="shared" si="186"/>
        <v>-0.33577209737829994</v>
      </c>
      <c r="N265" s="164" t="s">
        <v>210</v>
      </c>
      <c r="O265" s="288">
        <v>11</v>
      </c>
      <c r="P265" s="289">
        <v>108612.76566294697</v>
      </c>
      <c r="Q265" s="290">
        <v>69990</v>
      </c>
      <c r="R265" s="290">
        <v>-38622.765662946971</v>
      </c>
      <c r="S265" s="181">
        <v>-0.55183262841758784</v>
      </c>
      <c r="T265" s="291">
        <v>133236.34678042735</v>
      </c>
      <c r="U265" s="277">
        <v>90242.251377199995</v>
      </c>
      <c r="V265" s="290">
        <v>-42994.095403227358</v>
      </c>
      <c r="W265" s="182">
        <v>-0.47642977371561851</v>
      </c>
      <c r="Z265" s="292" t="s">
        <v>210</v>
      </c>
      <c r="AA265" s="189">
        <f t="shared" si="187"/>
        <v>112090.46318717682</v>
      </c>
      <c r="AB265" s="189">
        <f t="shared" si="188"/>
        <v>80970</v>
      </c>
      <c r="AC265" s="189">
        <f t="shared" si="189"/>
        <v>138874.55344333505</v>
      </c>
      <c r="AD265" s="189">
        <f t="shared" si="190"/>
        <v>103965.75412520001</v>
      </c>
      <c r="AE265" s="189">
        <f t="shared" si="191"/>
        <v>108612.76566294697</v>
      </c>
      <c r="AF265" s="189">
        <f t="shared" si="192"/>
        <v>69990</v>
      </c>
      <c r="AG265" s="189">
        <f t="shared" si="193"/>
        <v>133236.34678042735</v>
      </c>
      <c r="AH265" s="189">
        <f t="shared" si="194"/>
        <v>90242.251377199995</v>
      </c>
      <c r="AI265" s="206">
        <f t="shared" si="195"/>
        <v>3477.6975242298504</v>
      </c>
      <c r="AJ265" s="206">
        <f t="shared" si="195"/>
        <v>10980</v>
      </c>
      <c r="AK265" s="189">
        <f t="shared" si="195"/>
        <v>5638.2066629077017</v>
      </c>
      <c r="AL265" s="189">
        <f t="shared" si="195"/>
        <v>13723.502748000014</v>
      </c>
      <c r="AM265" s="219">
        <f t="shared" si="196"/>
        <v>3.2019233678498071E-2</v>
      </c>
      <c r="AN265" s="214">
        <f t="shared" si="196"/>
        <v>0.15687955422203173</v>
      </c>
      <c r="AO265" s="214">
        <f t="shared" si="196"/>
        <v>4.2317331562681089E-2</v>
      </c>
      <c r="AP265" s="214">
        <f t="shared" si="196"/>
        <v>0.15207402894501923</v>
      </c>
    </row>
    <row r="266" spans="1:55" ht="15" customHeight="1" x14ac:dyDescent="0.25">
      <c r="A266" s="15">
        <v>1212</v>
      </c>
      <c r="B266" s="56" t="s">
        <v>211</v>
      </c>
      <c r="C266" s="285">
        <v>27</v>
      </c>
      <c r="D266" s="286">
        <v>83757.127067897483</v>
      </c>
      <c r="E266" s="287">
        <v>63258</v>
      </c>
      <c r="F266" s="287">
        <v>-20499.127067897483</v>
      </c>
      <c r="G266" s="133">
        <f t="shared" si="185"/>
        <v>-0.32405588333329355</v>
      </c>
      <c r="H266" s="276">
        <v>107332.11590371659</v>
      </c>
      <c r="I266" s="275">
        <v>84010.331659279997</v>
      </c>
      <c r="J266" s="287">
        <v>-23321.784244436596</v>
      </c>
      <c r="K266" s="133">
        <f t="shared" si="186"/>
        <v>-0.27760614419453267</v>
      </c>
      <c r="N266" s="164" t="s">
        <v>211</v>
      </c>
      <c r="O266" s="288">
        <v>24</v>
      </c>
      <c r="P266" s="289">
        <v>73061.78672102897</v>
      </c>
      <c r="Q266" s="290">
        <v>58908</v>
      </c>
      <c r="R266" s="290">
        <v>-14153.78672102897</v>
      </c>
      <c r="S266" s="181">
        <v>-0.24026934747451908</v>
      </c>
      <c r="T266" s="291">
        <v>95267.081180050227</v>
      </c>
      <c r="U266" s="277">
        <v>77710.478870239996</v>
      </c>
      <c r="V266" s="290">
        <v>-17556.602309810231</v>
      </c>
      <c r="W266" s="182">
        <v>-0.22592322895250755</v>
      </c>
      <c r="Z266" s="292" t="s">
        <v>211</v>
      </c>
      <c r="AA266" s="189">
        <f t="shared" si="187"/>
        <v>83757.127067897483</v>
      </c>
      <c r="AB266" s="189">
        <f t="shared" si="188"/>
        <v>63258</v>
      </c>
      <c r="AC266" s="189">
        <f t="shared" si="189"/>
        <v>107332.11590371659</v>
      </c>
      <c r="AD266" s="189">
        <f t="shared" si="190"/>
        <v>84010.331659279997</v>
      </c>
      <c r="AE266" s="189">
        <f t="shared" si="191"/>
        <v>73061.78672102897</v>
      </c>
      <c r="AF266" s="189">
        <f t="shared" si="192"/>
        <v>58908</v>
      </c>
      <c r="AG266" s="189">
        <f t="shared" si="193"/>
        <v>95267.081180050227</v>
      </c>
      <c r="AH266" s="189">
        <f t="shared" si="194"/>
        <v>77710.478870239996</v>
      </c>
      <c r="AI266" s="206">
        <f t="shared" si="195"/>
        <v>10695.340346868514</v>
      </c>
      <c r="AJ266" s="206">
        <f t="shared" si="195"/>
        <v>4350</v>
      </c>
      <c r="AK266" s="189">
        <f t="shared" si="195"/>
        <v>12065.034723666366</v>
      </c>
      <c r="AL266" s="189">
        <f t="shared" si="195"/>
        <v>6299.8527890400001</v>
      </c>
      <c r="AM266" s="219">
        <f t="shared" si="196"/>
        <v>0.14638761008824511</v>
      </c>
      <c r="AN266" s="214">
        <f t="shared" si="196"/>
        <v>7.3843960073334686E-2</v>
      </c>
      <c r="AO266" s="214">
        <f t="shared" si="196"/>
        <v>0.12664432009692864</v>
      </c>
      <c r="AP266" s="214">
        <f t="shared" si="196"/>
        <v>8.1068253350483357E-2</v>
      </c>
    </row>
    <row r="267" spans="1:55" ht="15" customHeight="1" x14ac:dyDescent="0.25">
      <c r="A267" s="15">
        <v>1213</v>
      </c>
      <c r="B267" s="56" t="s">
        <v>212</v>
      </c>
      <c r="C267" s="285">
        <v>17</v>
      </c>
      <c r="D267" s="286">
        <v>68216.767036463716</v>
      </c>
      <c r="E267" s="287">
        <v>61710</v>
      </c>
      <c r="F267" s="287">
        <v>-6506.7670364637161</v>
      </c>
      <c r="G267" s="133">
        <f t="shared" si="185"/>
        <v>-0.10544104742284421</v>
      </c>
      <c r="H267" s="276">
        <v>89934.632910901448</v>
      </c>
      <c r="I267" s="275">
        <v>82266.260183599996</v>
      </c>
      <c r="J267" s="287">
        <v>-7668.372727301452</v>
      </c>
      <c r="K267" s="133">
        <f t="shared" si="186"/>
        <v>-9.3214067470520107E-2</v>
      </c>
      <c r="N267" s="164" t="s">
        <v>212</v>
      </c>
      <c r="O267" s="288">
        <v>15</v>
      </c>
      <c r="P267" s="289">
        <v>58971.067100506152</v>
      </c>
      <c r="Q267" s="290">
        <v>52050</v>
      </c>
      <c r="R267" s="290">
        <v>-6921.0671005061522</v>
      </c>
      <c r="S267" s="181">
        <v>-0.13296958886659274</v>
      </c>
      <c r="T267" s="291">
        <v>77912.138287798633</v>
      </c>
      <c r="U267" s="277">
        <v>69955.299673999994</v>
      </c>
      <c r="V267" s="290">
        <v>-7956.8386137986381</v>
      </c>
      <c r="W267" s="182">
        <v>-0.11374175581947975</v>
      </c>
      <c r="Z267" s="292" t="s">
        <v>212</v>
      </c>
      <c r="AA267" s="189">
        <f t="shared" si="187"/>
        <v>68216.767036463716</v>
      </c>
      <c r="AB267" s="189">
        <f t="shared" si="188"/>
        <v>61710</v>
      </c>
      <c r="AC267" s="189">
        <f t="shared" si="189"/>
        <v>89934.632910901448</v>
      </c>
      <c r="AD267" s="189">
        <f t="shared" si="190"/>
        <v>82266.260183599996</v>
      </c>
      <c r="AE267" s="189">
        <f t="shared" si="191"/>
        <v>58971.067100506152</v>
      </c>
      <c r="AF267" s="189">
        <f t="shared" si="192"/>
        <v>52050</v>
      </c>
      <c r="AG267" s="189">
        <f t="shared" si="193"/>
        <v>77912.138287798633</v>
      </c>
      <c r="AH267" s="189">
        <f t="shared" si="194"/>
        <v>69955.299673999994</v>
      </c>
      <c r="AI267" s="206">
        <f t="shared" si="195"/>
        <v>9245.6999359575639</v>
      </c>
      <c r="AJ267" s="206">
        <f t="shared" si="195"/>
        <v>9660</v>
      </c>
      <c r="AK267" s="189">
        <f t="shared" si="195"/>
        <v>12022.494623102815</v>
      </c>
      <c r="AL267" s="189">
        <f t="shared" si="195"/>
        <v>12310.960509600001</v>
      </c>
      <c r="AM267" s="219">
        <f t="shared" si="196"/>
        <v>0.15678366342260419</v>
      </c>
      <c r="AN267" s="214">
        <f t="shared" si="196"/>
        <v>0.18559077809798272</v>
      </c>
      <c r="AO267" s="214">
        <f t="shared" si="196"/>
        <v>0.154308364361572</v>
      </c>
      <c r="AP267" s="214">
        <f t="shared" si="196"/>
        <v>0.17598324311339583</v>
      </c>
    </row>
    <row r="268" spans="1:55" ht="15" customHeight="1" x14ac:dyDescent="0.25">
      <c r="A268" s="15">
        <v>1214</v>
      </c>
      <c r="B268" s="56" t="s">
        <v>767</v>
      </c>
      <c r="C268" s="285">
        <v>7</v>
      </c>
      <c r="D268" s="286">
        <v>81195.254395036187</v>
      </c>
      <c r="E268" s="287">
        <v>60228</v>
      </c>
      <c r="F268" s="287">
        <v>-20967.254395036187</v>
      </c>
      <c r="G268" s="133">
        <f t="shared" si="185"/>
        <v>-0.34813134082214564</v>
      </c>
      <c r="H268" s="276">
        <v>104484.11521227444</v>
      </c>
      <c r="I268" s="275">
        <v>80596.548344480005</v>
      </c>
      <c r="J268" s="287">
        <v>-23887.566867794434</v>
      </c>
      <c r="K268" s="133">
        <f t="shared" si="186"/>
        <v>-0.2963844898877791</v>
      </c>
      <c r="N268" s="164" t="s">
        <v>767</v>
      </c>
      <c r="O268" s="288">
        <v>7</v>
      </c>
      <c r="P268" s="289">
        <v>55773.5</v>
      </c>
      <c r="Q268" s="290">
        <v>56088</v>
      </c>
      <c r="R268" s="290">
        <v>314.5</v>
      </c>
      <c r="S268" s="181">
        <v>5.6072600199686207E-3</v>
      </c>
      <c r="T268" s="291">
        <v>77956.152251627791</v>
      </c>
      <c r="U268" s="277">
        <v>74521.560040640004</v>
      </c>
      <c r="V268" s="290">
        <v>-3434.5922109877865</v>
      </c>
      <c r="W268" s="182">
        <v>-4.6088571000321876E-2</v>
      </c>
      <c r="Z268" s="164" t="s">
        <v>767</v>
      </c>
      <c r="AA268" s="189">
        <f t="shared" si="187"/>
        <v>81195.254395036187</v>
      </c>
      <c r="AB268" s="189">
        <f t="shared" si="188"/>
        <v>60228</v>
      </c>
      <c r="AC268" s="189">
        <f t="shared" si="189"/>
        <v>104484.11521227444</v>
      </c>
      <c r="AD268" s="189">
        <f t="shared" si="190"/>
        <v>80596.548344480005</v>
      </c>
      <c r="AE268" s="189">
        <f t="shared" si="191"/>
        <v>55773.5</v>
      </c>
      <c r="AF268" s="189">
        <f t="shared" si="192"/>
        <v>56088</v>
      </c>
      <c r="AG268" s="189">
        <f t="shared" si="193"/>
        <v>77956.152251627791</v>
      </c>
      <c r="AH268" s="189">
        <f t="shared" si="194"/>
        <v>74521.560040640004</v>
      </c>
      <c r="AI268" s="206">
        <f t="shared" si="195"/>
        <v>25421.754395036187</v>
      </c>
      <c r="AJ268" s="206">
        <f t="shared" si="195"/>
        <v>4140</v>
      </c>
      <c r="AK268" s="189">
        <f t="shared" si="195"/>
        <v>26527.962960646648</v>
      </c>
      <c r="AL268" s="189">
        <f t="shared" si="195"/>
        <v>6074.9883038400003</v>
      </c>
      <c r="AM268" s="219">
        <f t="shared" si="196"/>
        <v>0.45580346212872042</v>
      </c>
      <c r="AN268" s="214">
        <f t="shared" si="196"/>
        <v>7.3812580231065475E-2</v>
      </c>
      <c r="AO268" s="214">
        <f t="shared" si="196"/>
        <v>0.34029338537668424</v>
      </c>
      <c r="AP268" s="214">
        <f t="shared" si="196"/>
        <v>8.1519875597438271E-2</v>
      </c>
    </row>
    <row r="269" spans="1:55" ht="15" customHeight="1" x14ac:dyDescent="0.25">
      <c r="A269" s="15">
        <v>1215</v>
      </c>
      <c r="B269" s="56" t="s">
        <v>213</v>
      </c>
      <c r="C269" s="285">
        <v>14</v>
      </c>
      <c r="D269" s="286">
        <v>77481.08596488992</v>
      </c>
      <c r="E269" s="287">
        <v>58734</v>
      </c>
      <c r="F269" s="287">
        <v>-18747.08596488992</v>
      </c>
      <c r="G269" s="133">
        <f t="shared" si="185"/>
        <v>-0.3191862628952552</v>
      </c>
      <c r="H269" s="276">
        <v>99345.891953496248</v>
      </c>
      <c r="I269" s="275">
        <v>78913.316571439995</v>
      </c>
      <c r="J269" s="287">
        <v>-20432.575382056253</v>
      </c>
      <c r="K269" s="133">
        <f t="shared" si="186"/>
        <v>-0.25892430162352514</v>
      </c>
      <c r="N269" s="164" t="s">
        <v>213</v>
      </c>
      <c r="O269" s="288">
        <v>14</v>
      </c>
      <c r="P269" s="289">
        <v>66594.472368673363</v>
      </c>
      <c r="Q269" s="290">
        <v>53364</v>
      </c>
      <c r="R269" s="290">
        <v>-13230.472368673363</v>
      </c>
      <c r="S269" s="181">
        <v>-0.2479287978538596</v>
      </c>
      <c r="T269" s="291">
        <v>86803.646318513362</v>
      </c>
      <c r="U269" s="277">
        <v>71441.200149919998</v>
      </c>
      <c r="V269" s="290">
        <v>-15362.446168593364</v>
      </c>
      <c r="W269" s="182">
        <v>-0.21503622750394916</v>
      </c>
      <c r="Z269" s="292" t="s">
        <v>213</v>
      </c>
      <c r="AA269" s="189">
        <f t="shared" si="187"/>
        <v>77481.08596488992</v>
      </c>
      <c r="AB269" s="189">
        <f t="shared" si="188"/>
        <v>58734</v>
      </c>
      <c r="AC269" s="189">
        <f t="shared" si="189"/>
        <v>99345.891953496248</v>
      </c>
      <c r="AD269" s="189">
        <f t="shared" si="190"/>
        <v>78913.316571439995</v>
      </c>
      <c r="AE269" s="189">
        <f t="shared" si="191"/>
        <v>66594.472368673363</v>
      </c>
      <c r="AF269" s="189">
        <f t="shared" si="192"/>
        <v>53364</v>
      </c>
      <c r="AG269" s="189">
        <f t="shared" si="193"/>
        <v>86803.646318513362</v>
      </c>
      <c r="AH269" s="189">
        <f t="shared" si="194"/>
        <v>71441.200149919998</v>
      </c>
      <c r="AI269" s="206">
        <f t="shared" si="195"/>
        <v>10886.613596216557</v>
      </c>
      <c r="AJ269" s="206">
        <f t="shared" si="195"/>
        <v>5370</v>
      </c>
      <c r="AK269" s="189">
        <f t="shared" si="195"/>
        <v>12542.245634982886</v>
      </c>
      <c r="AL269" s="189">
        <f t="shared" si="195"/>
        <v>7472.1164215199969</v>
      </c>
      <c r="AM269" s="219">
        <f t="shared" si="196"/>
        <v>0.16347623472331493</v>
      </c>
      <c r="AN269" s="214">
        <f t="shared" si="196"/>
        <v>0.10062963795817405</v>
      </c>
      <c r="AO269" s="214">
        <f t="shared" si="196"/>
        <v>0.14448984768405856</v>
      </c>
      <c r="AP269" s="214">
        <f t="shared" si="196"/>
        <v>0.10459113796856287</v>
      </c>
    </row>
    <row r="270" spans="1:55" ht="15" customHeight="1" x14ac:dyDescent="0.25">
      <c r="A270" s="15">
        <v>1216</v>
      </c>
      <c r="B270" s="56" t="s">
        <v>766</v>
      </c>
      <c r="C270" s="285">
        <v>18</v>
      </c>
      <c r="D270" s="286">
        <v>80764.329215911901</v>
      </c>
      <c r="E270" s="287">
        <v>69864</v>
      </c>
      <c r="F270" s="287">
        <v>-10900.329215911901</v>
      </c>
      <c r="G270" s="133">
        <f t="shared" si="185"/>
        <v>-0.15602211748413919</v>
      </c>
      <c r="H270" s="276">
        <v>103653.87412679018</v>
      </c>
      <c r="I270" s="275">
        <v>91453.055282240006</v>
      </c>
      <c r="J270" s="287">
        <v>-12200.818844550173</v>
      </c>
      <c r="K270" s="133">
        <f t="shared" si="186"/>
        <v>-0.13341072976617707</v>
      </c>
      <c r="N270" s="164" t="s">
        <v>766</v>
      </c>
      <c r="O270" s="288" t="str">
        <f>"-"</f>
        <v>-</v>
      </c>
      <c r="P270" s="289" t="s">
        <v>684</v>
      </c>
      <c r="Q270" s="290" t="s">
        <v>684</v>
      </c>
      <c r="R270" s="290" t="s">
        <v>484</v>
      </c>
      <c r="S270" s="181" t="s">
        <v>484</v>
      </c>
      <c r="T270" s="291" t="s">
        <v>684</v>
      </c>
      <c r="U270" s="277" t="s">
        <v>684</v>
      </c>
      <c r="V270" s="290" t="s">
        <v>484</v>
      </c>
      <c r="W270" s="182" t="s">
        <v>484</v>
      </c>
      <c r="Z270" s="292" t="s">
        <v>766</v>
      </c>
      <c r="AA270" s="189" t="str">
        <f t="shared" si="187"/>
        <v>-</v>
      </c>
      <c r="AB270" s="189" t="str">
        <f t="shared" si="188"/>
        <v>-</v>
      </c>
      <c r="AC270" s="189" t="str">
        <f t="shared" si="189"/>
        <v>-</v>
      </c>
      <c r="AD270" s="189" t="str">
        <f t="shared" si="190"/>
        <v>-</v>
      </c>
      <c r="AE270" s="189" t="str">
        <f t="shared" si="191"/>
        <v>-</v>
      </c>
      <c r="AF270" s="189" t="str">
        <f t="shared" si="192"/>
        <v>-</v>
      </c>
      <c r="AG270" s="189" t="str">
        <f t="shared" si="193"/>
        <v>-</v>
      </c>
      <c r="AH270" s="189" t="str">
        <f t="shared" si="194"/>
        <v>-</v>
      </c>
      <c r="AI270" s="206" t="str">
        <f t="shared" si="195"/>
        <v>-</v>
      </c>
      <c r="AJ270" s="206" t="str">
        <f t="shared" si="195"/>
        <v>-</v>
      </c>
      <c r="AK270" s="189" t="str">
        <f t="shared" si="195"/>
        <v>-</v>
      </c>
      <c r="AL270" s="189" t="str">
        <f t="shared" si="195"/>
        <v>-</v>
      </c>
      <c r="AM270" s="219" t="str">
        <f t="shared" si="196"/>
        <v>-</v>
      </c>
      <c r="AN270" s="214" t="str">
        <f t="shared" si="196"/>
        <v>-</v>
      </c>
      <c r="AO270" s="214" t="str">
        <f t="shared" si="196"/>
        <v>-</v>
      </c>
      <c r="AP270" s="214" t="str">
        <f t="shared" si="196"/>
        <v>-</v>
      </c>
    </row>
    <row r="271" spans="1:55" ht="15" customHeight="1" x14ac:dyDescent="0.25">
      <c r="A271" s="14"/>
      <c r="B271" s="62" t="s">
        <v>477</v>
      </c>
      <c r="C271" s="63"/>
      <c r="D271" s="124">
        <v>79680.999276234157</v>
      </c>
      <c r="E271" s="124">
        <v>64020</v>
      </c>
      <c r="F271" s="124">
        <v>-15660.999276234157</v>
      </c>
      <c r="G271" s="125">
        <f t="shared" si="185"/>
        <v>-0.24462666785745324</v>
      </c>
      <c r="H271" s="126">
        <v>102765.14915523426</v>
      </c>
      <c r="I271" s="127">
        <v>84868.847463200014</v>
      </c>
      <c r="J271" s="124">
        <v>-17896.301692034249</v>
      </c>
      <c r="K271" s="125">
        <f t="shared" si="186"/>
        <v>-0.21087009223018216</v>
      </c>
      <c r="N271" s="183" t="s">
        <v>477</v>
      </c>
      <c r="O271" s="184"/>
      <c r="P271" s="185">
        <v>71350.967263153027</v>
      </c>
      <c r="Q271" s="185">
        <v>57943.6</v>
      </c>
      <c r="R271" s="185">
        <v>-13407.367263153028</v>
      </c>
      <c r="S271" s="186">
        <v>-0.23138650796900828</v>
      </c>
      <c r="T271" s="201">
        <v>92955.397421457717</v>
      </c>
      <c r="U271" s="187">
        <v>76619.913863408001</v>
      </c>
      <c r="V271" s="185">
        <v>-16335.483558049717</v>
      </c>
      <c r="W271" s="188">
        <v>-0.21320153905643044</v>
      </c>
      <c r="Z271" s="209" t="s">
        <v>477</v>
      </c>
      <c r="AA271" s="212">
        <f t="shared" ref="AA271:AH271" si="197">AVERAGE(AA256:AA270)</f>
        <v>79603.618566257181</v>
      </c>
      <c r="AB271" s="212">
        <f t="shared" si="197"/>
        <v>63602.571428571428</v>
      </c>
      <c r="AC271" s="212">
        <f t="shared" si="197"/>
        <v>102701.66880012314</v>
      </c>
      <c r="AD271" s="212">
        <f t="shared" si="197"/>
        <v>84398.546904697156</v>
      </c>
      <c r="AE271" s="212">
        <f t="shared" si="197"/>
        <v>70857.132452468621</v>
      </c>
      <c r="AF271" s="212">
        <f t="shared" si="197"/>
        <v>57551.571428571428</v>
      </c>
      <c r="AG271" s="212">
        <f t="shared" si="197"/>
        <v>92499.988870051078</v>
      </c>
      <c r="AH271" s="212">
        <f t="shared" si="197"/>
        <v>76176.59922044001</v>
      </c>
      <c r="AI271" s="210">
        <f t="shared" si="195"/>
        <v>8746.48611378856</v>
      </c>
      <c r="AJ271" s="210">
        <f t="shared" si="195"/>
        <v>6051</v>
      </c>
      <c r="AK271" s="204">
        <f t="shared" si="195"/>
        <v>10201.67993007206</v>
      </c>
      <c r="AL271" s="204">
        <f t="shared" si="195"/>
        <v>8221.9476842571457</v>
      </c>
      <c r="AM271" s="220">
        <f t="shared" ref="AM271:AP271" si="198">AI271/AE271</f>
        <v>0.12343833021546213</v>
      </c>
      <c r="AN271" s="215">
        <f t="shared" si="198"/>
        <v>0.10514048269750609</v>
      </c>
      <c r="AO271" s="215">
        <f t="shared" si="198"/>
        <v>0.11028844494677642</v>
      </c>
      <c r="AP271" s="215">
        <f t="shared" si="198"/>
        <v>0.10793272170715387</v>
      </c>
      <c r="AQ271" s="14"/>
      <c r="AR271" s="14"/>
      <c r="AS271" s="14"/>
      <c r="AT271" s="14"/>
      <c r="AU271" s="14"/>
      <c r="AV271" s="14"/>
      <c r="AW271" s="14"/>
      <c r="AX271" s="14"/>
      <c r="AY271" s="14"/>
      <c r="AZ271" s="14"/>
      <c r="BA271" s="14"/>
      <c r="BB271" s="14"/>
      <c r="BC271" s="14"/>
    </row>
    <row r="272" spans="1:55" s="14" customFormat="1" ht="15" customHeight="1" x14ac:dyDescent="0.25">
      <c r="A272"/>
      <c r="B272"/>
      <c r="C272"/>
      <c r="D272" s="20"/>
      <c r="E272" s="20"/>
      <c r="F272" s="20"/>
      <c r="G272" s="20"/>
      <c r="H272" s="20"/>
      <c r="I272" s="20"/>
      <c r="J272" s="20"/>
      <c r="K272" s="20"/>
      <c r="L272"/>
      <c r="N272"/>
      <c r="O272"/>
      <c r="P272" s="20"/>
      <c r="Q272" s="20"/>
      <c r="R272" s="20"/>
      <c r="S272" s="20"/>
      <c r="T272" s="20"/>
      <c r="U272" s="20"/>
      <c r="V272" s="20"/>
      <c r="W272" s="20"/>
      <c r="Z272"/>
      <c r="AA272"/>
      <c r="AB272"/>
      <c r="AC272"/>
      <c r="AD272"/>
      <c r="AE272"/>
      <c r="AF272"/>
      <c r="AG272"/>
      <c r="AH272"/>
      <c r="AI272" s="158"/>
      <c r="AJ272" s="158"/>
      <c r="AK272" s="159"/>
      <c r="AL272" s="159"/>
      <c r="AM272"/>
      <c r="AN272"/>
      <c r="AO272"/>
      <c r="AP272"/>
      <c r="AQ272"/>
      <c r="AR272"/>
      <c r="AS272"/>
      <c r="AT272"/>
      <c r="AU272"/>
      <c r="AV272"/>
      <c r="AW272"/>
      <c r="AX272"/>
      <c r="AY272"/>
      <c r="AZ272"/>
      <c r="BA272"/>
      <c r="BB272"/>
      <c r="BC272"/>
    </row>
    <row r="273" spans="1:55" ht="15" customHeight="1" x14ac:dyDescent="0.25">
      <c r="AI273" s="158"/>
      <c r="AJ273" s="158"/>
      <c r="AK273" s="159"/>
      <c r="AL273" s="159"/>
      <c r="AM273" s="159"/>
      <c r="AN273" s="159"/>
      <c r="AO273" s="159"/>
      <c r="AP273" s="159"/>
    </row>
    <row r="274" spans="1:55" ht="15" customHeight="1" x14ac:dyDescent="0.25">
      <c r="AA274" s="528"/>
      <c r="AB274" s="47"/>
      <c r="AC274" s="47"/>
      <c r="AD274" s="47"/>
      <c r="AE274" s="47"/>
      <c r="AF274" s="47"/>
      <c r="AG274" s="47"/>
      <c r="AH274" s="47"/>
      <c r="AI274" s="156" t="s">
        <v>926</v>
      </c>
      <c r="AJ274" s="158"/>
      <c r="AK274" s="159"/>
      <c r="AL274" s="159"/>
      <c r="AM274" s="156" t="s">
        <v>927</v>
      </c>
      <c r="AN274" s="157"/>
      <c r="AO274" s="157"/>
      <c r="AP274" s="157"/>
    </row>
    <row r="275" spans="1:55" ht="18.75" x14ac:dyDescent="0.25">
      <c r="B275" s="110" t="s">
        <v>8</v>
      </c>
      <c r="C275" s="302" t="s">
        <v>765</v>
      </c>
      <c r="D275" s="303"/>
      <c r="E275" s="303"/>
      <c r="F275" s="304"/>
      <c r="G275" s="303"/>
      <c r="H275" s="303" t="s">
        <v>435</v>
      </c>
      <c r="I275" s="303"/>
      <c r="J275" s="303"/>
      <c r="K275" s="305"/>
      <c r="N275" s="293"/>
      <c r="O275" s="297" t="s">
        <v>693</v>
      </c>
      <c r="P275" s="296"/>
      <c r="Q275" s="296"/>
      <c r="R275" s="296"/>
      <c r="S275" s="296"/>
      <c r="T275" s="296" t="s">
        <v>700</v>
      </c>
      <c r="U275" s="296"/>
      <c r="V275" s="296"/>
      <c r="W275" s="296"/>
      <c r="Z275" s="293" t="s">
        <v>8</v>
      </c>
      <c r="AA275" s="156" t="s">
        <v>691</v>
      </c>
      <c r="AB275" s="526"/>
      <c r="AC275" s="526"/>
      <c r="AD275" s="526"/>
      <c r="AE275" s="526"/>
      <c r="AF275" s="526"/>
      <c r="AG275" s="526"/>
      <c r="AH275" s="526"/>
      <c r="AI275" s="526" t="s">
        <v>693</v>
      </c>
      <c r="AJ275" s="526"/>
      <c r="AK275" s="526" t="s">
        <v>700</v>
      </c>
      <c r="AL275" s="526"/>
      <c r="AM275" s="526" t="s">
        <v>693</v>
      </c>
      <c r="AN275" s="526"/>
      <c r="AO275" s="526" t="s">
        <v>700</v>
      </c>
      <c r="AP275" s="526"/>
    </row>
    <row r="276" spans="1:55" ht="15" customHeight="1" x14ac:dyDescent="0.25">
      <c r="B276" s="111" t="s">
        <v>679</v>
      </c>
      <c r="C276" s="113" t="s">
        <v>935</v>
      </c>
      <c r="D276" s="112" t="s">
        <v>733</v>
      </c>
      <c r="E276" s="130" t="s">
        <v>934</v>
      </c>
      <c r="F276" s="130" t="s">
        <v>936</v>
      </c>
      <c r="G276" s="130" t="s">
        <v>734</v>
      </c>
      <c r="H276" s="131" t="s">
        <v>733</v>
      </c>
      <c r="I276" s="130" t="s">
        <v>934</v>
      </c>
      <c r="J276" s="130" t="s">
        <v>936</v>
      </c>
      <c r="K276" s="132" t="s">
        <v>735</v>
      </c>
      <c r="N276" s="160" t="s">
        <v>679</v>
      </c>
      <c r="O276" s="161" t="s">
        <v>697</v>
      </c>
      <c r="P276" s="161" t="s">
        <v>733</v>
      </c>
      <c r="Q276" s="162" t="s">
        <v>698</v>
      </c>
      <c r="R276" s="162" t="s">
        <v>699</v>
      </c>
      <c r="S276" s="162" t="s">
        <v>734</v>
      </c>
      <c r="T276" s="200" t="s">
        <v>733</v>
      </c>
      <c r="U276" s="162" t="s">
        <v>698</v>
      </c>
      <c r="V276" s="162" t="s">
        <v>699</v>
      </c>
      <c r="W276" s="163" t="s">
        <v>735</v>
      </c>
      <c r="Z276" s="205" t="s">
        <v>679</v>
      </c>
      <c r="AA276" s="271" t="s">
        <v>922</v>
      </c>
      <c r="AB276" s="271" t="s">
        <v>923</v>
      </c>
      <c r="AC276" s="271" t="s">
        <v>924</v>
      </c>
      <c r="AD276" s="271" t="s">
        <v>925</v>
      </c>
      <c r="AE276" s="272" t="s">
        <v>928</v>
      </c>
      <c r="AF276" s="272" t="s">
        <v>929</v>
      </c>
      <c r="AG276" s="272" t="s">
        <v>930</v>
      </c>
      <c r="AH276" s="272" t="s">
        <v>931</v>
      </c>
      <c r="AI276" s="273" t="s">
        <v>687</v>
      </c>
      <c r="AJ276" s="273" t="s">
        <v>688</v>
      </c>
      <c r="AK276" s="273" t="s">
        <v>689</v>
      </c>
      <c r="AL276" s="273" t="s">
        <v>690</v>
      </c>
      <c r="AM276" s="218" t="s">
        <v>687</v>
      </c>
      <c r="AN276" s="273" t="s">
        <v>688</v>
      </c>
      <c r="AO276" s="273" t="s">
        <v>689</v>
      </c>
      <c r="AP276" s="273" t="s">
        <v>690</v>
      </c>
    </row>
    <row r="277" spans="1:55" ht="15" customHeight="1" x14ac:dyDescent="0.25">
      <c r="A277">
        <v>1300</v>
      </c>
      <c r="B277" s="56" t="s">
        <v>214</v>
      </c>
      <c r="C277" s="285">
        <v>18</v>
      </c>
      <c r="D277" s="286">
        <v>93352.39499999999</v>
      </c>
      <c r="E277" s="287">
        <v>66432</v>
      </c>
      <c r="F277" s="287">
        <v>-26920.39499999999</v>
      </c>
      <c r="G277" s="133">
        <f>IFERROR(F277/E277,"--")</f>
        <v>-0.40523234284682064</v>
      </c>
      <c r="H277" s="276">
        <v>116082.92065615999</v>
      </c>
      <c r="I277" s="275">
        <v>87586.354181119998</v>
      </c>
      <c r="J277" s="287">
        <v>-28496.566475039988</v>
      </c>
      <c r="K277" s="133">
        <f t="shared" ref="K277" si="199">IFERROR(J277/I277,"--")</f>
        <v>-0.32535395201074224</v>
      </c>
      <c r="N277" s="164" t="s">
        <v>214</v>
      </c>
      <c r="O277" s="288">
        <v>15</v>
      </c>
      <c r="P277" s="289">
        <v>88493.506357872742</v>
      </c>
      <c r="Q277" s="290">
        <v>61866</v>
      </c>
      <c r="R277" s="290">
        <v>-26627.506357872742</v>
      </c>
      <c r="S277" s="181">
        <v>-0.43040614162662433</v>
      </c>
      <c r="T277" s="291">
        <v>109929.66748009674</v>
      </c>
      <c r="U277" s="277">
        <v>81055.451174479997</v>
      </c>
      <c r="V277" s="290">
        <v>-28874.216305616748</v>
      </c>
      <c r="W277" s="182">
        <v>-0.35622793886449533</v>
      </c>
      <c r="Z277" s="292" t="s">
        <v>214</v>
      </c>
      <c r="AA277" s="189">
        <f>IF($D277="-","-",IF($P277="-","-",D277))</f>
        <v>93352.39499999999</v>
      </c>
      <c r="AB277" s="189">
        <f>IF($D277="-","-",IF($P277="-","-",E277))</f>
        <v>66432</v>
      </c>
      <c r="AC277" s="189">
        <f>IF($D277="-","-",IF($P277="-","-",H277))</f>
        <v>116082.92065615999</v>
      </c>
      <c r="AD277" s="189">
        <f>IF($D277="-","-",IF($P277="-","-",I277))</f>
        <v>87586.354181119998</v>
      </c>
      <c r="AE277" s="189">
        <f>IF($D277="-","-",IF($P277="-","-",P277))</f>
        <v>88493.506357872742</v>
      </c>
      <c r="AF277" s="189">
        <f>IF($D277="-","-",IF($P277="-","-",Q277))</f>
        <v>61866</v>
      </c>
      <c r="AG277" s="189">
        <f>IF($D277="-","-",IF($P277="-","-",T277))</f>
        <v>109929.66748009674</v>
      </c>
      <c r="AH277" s="189">
        <f>IF($D277="-","-",IF($P277="-","-",U277))</f>
        <v>81055.451174479997</v>
      </c>
      <c r="AI277" s="206">
        <f t="shared" ref="AI277:AL277" si="200">IFERROR(AA277-AE277,"-")</f>
        <v>4858.8886421272473</v>
      </c>
      <c r="AJ277" s="206">
        <f t="shared" si="200"/>
        <v>4566</v>
      </c>
      <c r="AK277" s="189">
        <f t="shared" si="200"/>
        <v>6153.253176063241</v>
      </c>
      <c r="AL277" s="189">
        <f t="shared" si="200"/>
        <v>6530.903006640001</v>
      </c>
      <c r="AM277" s="219">
        <f>IFERROR(AI277/AE277,"-")</f>
        <v>5.4906725274028886E-2</v>
      </c>
      <c r="AN277" s="214">
        <f>IFERROR(AJ277/AF277,"-")</f>
        <v>7.3804674619338567E-2</v>
      </c>
      <c r="AO277" s="214">
        <f>IFERROR(AK277/AG277,"-")</f>
        <v>5.597445455001776E-2</v>
      </c>
      <c r="AP277" s="214">
        <f>IFERROR(AL277/AH277,"-")</f>
        <v>8.0573273135961909E-2</v>
      </c>
    </row>
    <row r="278" spans="1:55" ht="15" customHeight="1" x14ac:dyDescent="0.25">
      <c r="AI278" s="158"/>
      <c r="AJ278" s="158"/>
      <c r="AK278" s="159"/>
      <c r="AL278" s="159"/>
      <c r="AM278" s="159"/>
      <c r="AN278" s="159"/>
      <c r="AO278" s="159"/>
      <c r="AP278" s="159"/>
    </row>
    <row r="279" spans="1:55" ht="15" customHeight="1" x14ac:dyDescent="0.25">
      <c r="AI279" s="158"/>
      <c r="AJ279" s="158"/>
      <c r="AK279" s="159"/>
      <c r="AL279" s="159"/>
      <c r="AM279" s="159"/>
      <c r="AN279" s="159"/>
      <c r="AO279" s="159"/>
      <c r="AP279" s="159"/>
    </row>
    <row r="280" spans="1:55" ht="15" customHeight="1" x14ac:dyDescent="0.25">
      <c r="AA280" s="528"/>
      <c r="AB280" s="47"/>
      <c r="AC280" s="47"/>
      <c r="AD280" s="47"/>
      <c r="AE280" s="47"/>
      <c r="AF280" s="47"/>
      <c r="AG280" s="47"/>
      <c r="AH280" s="47"/>
      <c r="AI280" s="156" t="s">
        <v>926</v>
      </c>
      <c r="AJ280" s="158"/>
      <c r="AK280" s="159"/>
      <c r="AL280" s="159"/>
      <c r="AM280" s="156" t="s">
        <v>927</v>
      </c>
      <c r="AN280" s="157"/>
      <c r="AO280" s="157"/>
      <c r="AP280" s="157"/>
    </row>
    <row r="281" spans="1:55" ht="15" customHeight="1" x14ac:dyDescent="0.25">
      <c r="B281" s="110" t="s">
        <v>52</v>
      </c>
      <c r="C281" s="302" t="s">
        <v>765</v>
      </c>
      <c r="D281" s="303"/>
      <c r="E281" s="303"/>
      <c r="F281" s="304"/>
      <c r="G281" s="303"/>
      <c r="H281" s="303" t="s">
        <v>435</v>
      </c>
      <c r="I281" s="303"/>
      <c r="J281" s="303"/>
      <c r="K281" s="305"/>
      <c r="N281" s="293"/>
      <c r="O281" s="297" t="s">
        <v>693</v>
      </c>
      <c r="P281" s="296"/>
      <c r="Q281" s="296"/>
      <c r="R281" s="296"/>
      <c r="S281" s="296"/>
      <c r="T281" s="296" t="s">
        <v>700</v>
      </c>
      <c r="U281" s="296"/>
      <c r="V281" s="296"/>
      <c r="W281" s="296"/>
      <c r="Z281" s="293" t="s">
        <v>52</v>
      </c>
      <c r="AA281" s="156" t="s">
        <v>691</v>
      </c>
      <c r="AB281" s="526"/>
      <c r="AC281" s="526"/>
      <c r="AD281" s="526"/>
      <c r="AE281" s="526"/>
      <c r="AF281" s="526"/>
      <c r="AG281" s="526"/>
      <c r="AH281" s="526"/>
      <c r="AI281" s="526" t="s">
        <v>693</v>
      </c>
      <c r="AJ281" s="526"/>
      <c r="AK281" s="526" t="s">
        <v>700</v>
      </c>
      <c r="AL281" s="526"/>
      <c r="AM281" s="526" t="s">
        <v>693</v>
      </c>
      <c r="AN281" s="526"/>
      <c r="AO281" s="526" t="s">
        <v>700</v>
      </c>
      <c r="AP281" s="526"/>
    </row>
    <row r="282" spans="1:55" ht="15" customHeight="1" x14ac:dyDescent="0.25">
      <c r="B282" s="111" t="s">
        <v>679</v>
      </c>
      <c r="C282" s="113" t="s">
        <v>935</v>
      </c>
      <c r="D282" s="112" t="s">
        <v>733</v>
      </c>
      <c r="E282" s="130" t="s">
        <v>934</v>
      </c>
      <c r="F282" s="130" t="s">
        <v>936</v>
      </c>
      <c r="G282" s="130" t="s">
        <v>734</v>
      </c>
      <c r="H282" s="131" t="s">
        <v>733</v>
      </c>
      <c r="I282" s="130" t="s">
        <v>934</v>
      </c>
      <c r="J282" s="130" t="s">
        <v>936</v>
      </c>
      <c r="K282" s="132" t="s">
        <v>735</v>
      </c>
      <c r="N282" s="160" t="s">
        <v>679</v>
      </c>
      <c r="O282" s="161" t="s">
        <v>697</v>
      </c>
      <c r="P282" s="161" t="s">
        <v>733</v>
      </c>
      <c r="Q282" s="162" t="s">
        <v>698</v>
      </c>
      <c r="R282" s="162" t="s">
        <v>699</v>
      </c>
      <c r="S282" s="162" t="s">
        <v>734</v>
      </c>
      <c r="T282" s="200" t="s">
        <v>733</v>
      </c>
      <c r="U282" s="162" t="s">
        <v>698</v>
      </c>
      <c r="V282" s="162" t="s">
        <v>699</v>
      </c>
      <c r="W282" s="163" t="s">
        <v>735</v>
      </c>
      <c r="Z282" s="205" t="s">
        <v>679</v>
      </c>
      <c r="AA282" s="271" t="s">
        <v>922</v>
      </c>
      <c r="AB282" s="271" t="s">
        <v>923</v>
      </c>
      <c r="AC282" s="271" t="s">
        <v>924</v>
      </c>
      <c r="AD282" s="271" t="s">
        <v>925</v>
      </c>
      <c r="AE282" s="272" t="s">
        <v>928</v>
      </c>
      <c r="AF282" s="272" t="s">
        <v>929</v>
      </c>
      <c r="AG282" s="272" t="s">
        <v>930</v>
      </c>
      <c r="AH282" s="272" t="s">
        <v>931</v>
      </c>
      <c r="AI282" s="273" t="s">
        <v>687</v>
      </c>
      <c r="AJ282" s="273" t="s">
        <v>688</v>
      </c>
      <c r="AK282" s="273" t="s">
        <v>689</v>
      </c>
      <c r="AL282" s="273" t="s">
        <v>690</v>
      </c>
      <c r="AM282" s="218" t="s">
        <v>687</v>
      </c>
      <c r="AN282" s="273" t="s">
        <v>688</v>
      </c>
      <c r="AO282" s="273" t="s">
        <v>689</v>
      </c>
      <c r="AP282" s="273" t="s">
        <v>690</v>
      </c>
    </row>
    <row r="283" spans="1:55" ht="15" customHeight="1" x14ac:dyDescent="0.25">
      <c r="A283" s="15">
        <v>1400</v>
      </c>
      <c r="B283" s="56" t="s">
        <v>215</v>
      </c>
      <c r="C283" s="285">
        <v>5</v>
      </c>
      <c r="D283" s="286">
        <v>48673</v>
      </c>
      <c r="E283" s="287">
        <v>40938</v>
      </c>
      <c r="F283" s="287">
        <v>-7735</v>
      </c>
      <c r="G283" s="133">
        <f t="shared" ref="G283:G285" si="201">IFERROR(F283/E283,"--")</f>
        <v>-0.18894425716937807</v>
      </c>
      <c r="H283" s="276">
        <v>63023.44</v>
      </c>
      <c r="I283" s="275">
        <v>58863.254568080003</v>
      </c>
      <c r="J283" s="287">
        <v>-4160.1854319199992</v>
      </c>
      <c r="K283" s="133">
        <f t="shared" ref="K283:K285" si="202">IFERROR(J283/I283,"--")</f>
        <v>-7.0675423274607019E-2</v>
      </c>
      <c r="N283" s="164" t="s">
        <v>215</v>
      </c>
      <c r="O283" s="288">
        <v>5</v>
      </c>
      <c r="P283" s="289">
        <v>34995.33</v>
      </c>
      <c r="Q283" s="290">
        <v>38124</v>
      </c>
      <c r="R283" s="290">
        <v>3128.6699999999983</v>
      </c>
      <c r="S283" s="181">
        <v>8.206562795089703E-2</v>
      </c>
      <c r="T283" s="291">
        <v>47462.25</v>
      </c>
      <c r="U283" s="277">
        <v>54207.46860272</v>
      </c>
      <c r="V283" s="290">
        <v>6745.2186027200005</v>
      </c>
      <c r="W283" s="182">
        <v>0.12443338116662289</v>
      </c>
      <c r="Z283" s="292" t="s">
        <v>215</v>
      </c>
      <c r="AA283" s="189">
        <f>IF($D283="-","-",IF($P283="-","-",D283))</f>
        <v>48673</v>
      </c>
      <c r="AB283" s="189">
        <f>IF($D283="-","-",IF($P283="-","-",E283))</f>
        <v>40938</v>
      </c>
      <c r="AC283" s="189">
        <f>IF($D283="-","-",IF($P283="-","-",H283))</f>
        <v>63023.44</v>
      </c>
      <c r="AD283" s="189">
        <f>IF($D283="-","-",IF($P283="-","-",I283))</f>
        <v>58863.254568080003</v>
      </c>
      <c r="AE283" s="189">
        <f>IF($D283="-","-",IF($P283="-","-",P283))</f>
        <v>34995.33</v>
      </c>
      <c r="AF283" s="189">
        <f>IF($D283="-","-",IF($P283="-","-",Q283))</f>
        <v>38124</v>
      </c>
      <c r="AG283" s="189">
        <f>IF($D283="-","-",IF($P283="-","-",T283))</f>
        <v>47462.25</v>
      </c>
      <c r="AH283" s="189">
        <f>IF($D283="-","-",IF($P283="-","-",U283))</f>
        <v>54207.46860272</v>
      </c>
      <c r="AI283" s="206">
        <f t="shared" ref="AI283:AL285" si="203">IFERROR(AA283-AE283,"-")</f>
        <v>13677.669999999998</v>
      </c>
      <c r="AJ283" s="206">
        <f t="shared" si="203"/>
        <v>2814</v>
      </c>
      <c r="AK283" s="189">
        <f t="shared" si="203"/>
        <v>15561.190000000002</v>
      </c>
      <c r="AL283" s="189">
        <f t="shared" si="203"/>
        <v>4655.7859653600026</v>
      </c>
      <c r="AM283" s="219">
        <f t="shared" ref="AM283:AP284" si="204">IFERROR(AI283/AE283,"-")</f>
        <v>0.39084272101448958</v>
      </c>
      <c r="AN283" s="214">
        <f t="shared" si="204"/>
        <v>7.3811772112055404E-2</v>
      </c>
      <c r="AO283" s="214">
        <f t="shared" si="204"/>
        <v>0.32786456604986075</v>
      </c>
      <c r="AP283" s="214">
        <f t="shared" si="204"/>
        <v>8.588827490694495E-2</v>
      </c>
    </row>
    <row r="284" spans="1:55" ht="15" customHeight="1" x14ac:dyDescent="0.25">
      <c r="A284" s="15">
        <v>1401</v>
      </c>
      <c r="B284" s="56" t="s">
        <v>216</v>
      </c>
      <c r="C284" s="285">
        <v>9</v>
      </c>
      <c r="D284" s="286">
        <v>66386.878594293536</v>
      </c>
      <c r="E284" s="287">
        <v>57306</v>
      </c>
      <c r="F284" s="287">
        <v>-9080.8785942935356</v>
      </c>
      <c r="G284" s="133">
        <f t="shared" si="201"/>
        <v>-0.15846296363894768</v>
      </c>
      <c r="H284" s="276">
        <v>87849.16954581179</v>
      </c>
      <c r="I284" s="275">
        <v>77304.444434959994</v>
      </c>
      <c r="J284" s="287">
        <v>-10544.725110851796</v>
      </c>
      <c r="K284" s="133">
        <f t="shared" si="202"/>
        <v>-0.13640515998693437</v>
      </c>
      <c r="N284" s="164" t="s">
        <v>216</v>
      </c>
      <c r="O284" s="288">
        <v>9</v>
      </c>
      <c r="P284" s="289">
        <v>60207.144872423945</v>
      </c>
      <c r="Q284" s="290">
        <v>53364</v>
      </c>
      <c r="R284" s="290">
        <v>-6843.1448724239453</v>
      </c>
      <c r="S284" s="181">
        <v>-0.12823523110006643</v>
      </c>
      <c r="T284" s="291">
        <v>79070.482447586401</v>
      </c>
      <c r="U284" s="277">
        <v>71441.200149919998</v>
      </c>
      <c r="V284" s="290">
        <v>-7629.2822976664029</v>
      </c>
      <c r="W284" s="182">
        <v>-0.10679107128178537</v>
      </c>
      <c r="Z284" s="292" t="s">
        <v>216</v>
      </c>
      <c r="AA284" s="189">
        <f>IF($D284="-","-",IF($P284="-","-",D284))</f>
        <v>66386.878594293536</v>
      </c>
      <c r="AB284" s="189">
        <f>IF($D284="-","-",IF($P284="-","-",E284))</f>
        <v>57306</v>
      </c>
      <c r="AC284" s="189">
        <f>IF($D284="-","-",IF($P284="-","-",H284))</f>
        <v>87849.16954581179</v>
      </c>
      <c r="AD284" s="189">
        <f>IF($D284="-","-",IF($P284="-","-",I284))</f>
        <v>77304.444434959994</v>
      </c>
      <c r="AE284" s="189">
        <f>IF($D284="-","-",IF($P284="-","-",P284))</f>
        <v>60207.144872423945</v>
      </c>
      <c r="AF284" s="189">
        <f>IF($D284="-","-",IF($P284="-","-",Q284))</f>
        <v>53364</v>
      </c>
      <c r="AG284" s="189">
        <f>IF($D284="-","-",IF($P284="-","-",T284))</f>
        <v>79070.482447586401</v>
      </c>
      <c r="AH284" s="189">
        <f>IF($D284="-","-",IF($P284="-","-",U284))</f>
        <v>71441.200149919998</v>
      </c>
      <c r="AI284" s="206">
        <f t="shared" si="203"/>
        <v>6179.7337218695902</v>
      </c>
      <c r="AJ284" s="206">
        <f t="shared" si="203"/>
        <v>3942</v>
      </c>
      <c r="AK284" s="189">
        <f t="shared" si="203"/>
        <v>8778.6870982253895</v>
      </c>
      <c r="AL284" s="189">
        <f t="shared" si="203"/>
        <v>5863.2442850399966</v>
      </c>
      <c r="AM284" s="219">
        <f t="shared" si="204"/>
        <v>0.10264120205274889</v>
      </c>
      <c r="AN284" s="214">
        <f t="shared" si="204"/>
        <v>7.3870024735776932E-2</v>
      </c>
      <c r="AO284" s="214">
        <f t="shared" si="204"/>
        <v>0.11102356816963314</v>
      </c>
      <c r="AP284" s="214">
        <f t="shared" si="204"/>
        <v>8.207090968147128E-2</v>
      </c>
    </row>
    <row r="285" spans="1:55" ht="15" customHeight="1" x14ac:dyDescent="0.25">
      <c r="A285" s="14"/>
      <c r="B285" s="62" t="s">
        <v>477</v>
      </c>
      <c r="C285" s="63"/>
      <c r="D285" s="124">
        <v>57529.939297146768</v>
      </c>
      <c r="E285" s="124">
        <v>49122</v>
      </c>
      <c r="F285" s="124">
        <v>-8407.9392971467678</v>
      </c>
      <c r="G285" s="125">
        <f t="shared" si="201"/>
        <v>-0.1711644333933221</v>
      </c>
      <c r="H285" s="126">
        <v>75436.304772905889</v>
      </c>
      <c r="I285" s="127">
        <v>68083.849501520002</v>
      </c>
      <c r="J285" s="124">
        <v>-7352.4552713858866</v>
      </c>
      <c r="K285" s="125">
        <f t="shared" si="202"/>
        <v>-0.10799118036387968</v>
      </c>
      <c r="N285" s="183" t="s">
        <v>477</v>
      </c>
      <c r="O285" s="184"/>
      <c r="P285" s="185">
        <v>47601.237436211974</v>
      </c>
      <c r="Q285" s="185">
        <v>45744</v>
      </c>
      <c r="R285" s="185">
        <v>-1857.2374362119735</v>
      </c>
      <c r="S285" s="186">
        <v>-4.0600678476127437E-2</v>
      </c>
      <c r="T285" s="201">
        <v>63266.3662237932</v>
      </c>
      <c r="U285" s="187">
        <v>62824.334376319995</v>
      </c>
      <c r="V285" s="185">
        <v>-442.03184747320483</v>
      </c>
      <c r="W285" s="188">
        <v>-7.0359973067986425E-3</v>
      </c>
      <c r="Z285" s="209" t="s">
        <v>477</v>
      </c>
      <c r="AA285" s="204">
        <f t="shared" ref="AA285:AH285" si="205">AVERAGE(AA283:AA284)</f>
        <v>57529.939297146768</v>
      </c>
      <c r="AB285" s="204">
        <f t="shared" si="205"/>
        <v>49122</v>
      </c>
      <c r="AC285" s="204">
        <f t="shared" si="205"/>
        <v>75436.304772905889</v>
      </c>
      <c r="AD285" s="204">
        <f t="shared" si="205"/>
        <v>68083.849501520002</v>
      </c>
      <c r="AE285" s="204">
        <f t="shared" si="205"/>
        <v>47601.237436211974</v>
      </c>
      <c r="AF285" s="204">
        <f t="shared" si="205"/>
        <v>45744</v>
      </c>
      <c r="AG285" s="204">
        <f t="shared" si="205"/>
        <v>63266.3662237932</v>
      </c>
      <c r="AH285" s="204">
        <f t="shared" si="205"/>
        <v>62824.334376319995</v>
      </c>
      <c r="AI285" s="210">
        <f t="shared" si="203"/>
        <v>9928.7018609347942</v>
      </c>
      <c r="AJ285" s="210">
        <f t="shared" si="203"/>
        <v>3378</v>
      </c>
      <c r="AK285" s="204">
        <f t="shared" si="203"/>
        <v>12169.938549112689</v>
      </c>
      <c r="AL285" s="204">
        <f t="shared" si="203"/>
        <v>5259.5151252000069</v>
      </c>
      <c r="AM285" s="220">
        <f t="shared" ref="AM285:AP285" si="206">AI285/AE285</f>
        <v>0.20858075116723065</v>
      </c>
      <c r="AN285" s="215">
        <f t="shared" si="206"/>
        <v>7.3845750262329479E-2</v>
      </c>
      <c r="AO285" s="215">
        <f t="shared" si="206"/>
        <v>0.19236032153425339</v>
      </c>
      <c r="AP285" s="215">
        <f t="shared" si="206"/>
        <v>8.3717801030653571E-2</v>
      </c>
      <c r="AQ285" s="14"/>
      <c r="AR285" s="14"/>
      <c r="AS285" s="14"/>
      <c r="AT285" s="14"/>
      <c r="AU285" s="14"/>
      <c r="AV285" s="14"/>
      <c r="AW285" s="14"/>
      <c r="AX285" s="14"/>
      <c r="AY285" s="14"/>
      <c r="AZ285" s="14"/>
      <c r="BA285" s="14"/>
      <c r="BB285" s="14"/>
      <c r="BC285" s="14"/>
    </row>
    <row r="286" spans="1:55" ht="15" customHeight="1" x14ac:dyDescent="0.25">
      <c r="AI286" s="158"/>
      <c r="AJ286" s="158"/>
      <c r="AK286" s="159"/>
      <c r="AL286" s="159"/>
    </row>
    <row r="287" spans="1:55" ht="15" customHeight="1" x14ac:dyDescent="0.25">
      <c r="AI287" s="158"/>
      <c r="AJ287" s="158"/>
      <c r="AK287" s="159"/>
      <c r="AL287" s="159"/>
      <c r="AM287" s="159"/>
      <c r="AN287" s="159"/>
      <c r="AO287" s="159"/>
      <c r="AP287" s="159"/>
    </row>
    <row r="288" spans="1:55" ht="15" customHeight="1" x14ac:dyDescent="0.25">
      <c r="AA288" s="528"/>
      <c r="AB288" s="47"/>
      <c r="AC288" s="47"/>
      <c r="AD288" s="47"/>
      <c r="AE288" s="47"/>
      <c r="AF288" s="47"/>
      <c r="AG288" s="47"/>
      <c r="AH288" s="47"/>
      <c r="AI288" s="156" t="s">
        <v>926</v>
      </c>
      <c r="AJ288" s="158"/>
      <c r="AK288" s="159"/>
      <c r="AL288" s="159"/>
      <c r="AM288" s="156" t="s">
        <v>927</v>
      </c>
      <c r="AN288" s="157"/>
      <c r="AO288" s="157"/>
      <c r="AP288" s="157"/>
    </row>
    <row r="289" spans="1:55" ht="15" customHeight="1" x14ac:dyDescent="0.25">
      <c r="B289" s="110" t="s">
        <v>2</v>
      </c>
      <c r="C289" s="302" t="s">
        <v>765</v>
      </c>
      <c r="D289" s="303"/>
      <c r="E289" s="303"/>
      <c r="F289" s="304"/>
      <c r="G289" s="303"/>
      <c r="H289" s="303" t="s">
        <v>435</v>
      </c>
      <c r="I289" s="303"/>
      <c r="J289" s="303"/>
      <c r="K289" s="305"/>
      <c r="N289" s="293"/>
      <c r="O289" s="297" t="s">
        <v>693</v>
      </c>
      <c r="P289" s="296"/>
      <c r="Q289" s="296"/>
      <c r="R289" s="296"/>
      <c r="S289" s="296"/>
      <c r="T289" s="296" t="s">
        <v>700</v>
      </c>
      <c r="U289" s="296"/>
      <c r="V289" s="296"/>
      <c r="W289" s="296"/>
      <c r="Z289" s="293" t="s">
        <v>2</v>
      </c>
      <c r="AA289" s="156" t="s">
        <v>691</v>
      </c>
      <c r="AB289" s="526"/>
      <c r="AC289" s="526"/>
      <c r="AD289" s="526"/>
      <c r="AE289" s="526"/>
      <c r="AF289" s="526"/>
      <c r="AG289" s="526"/>
      <c r="AH289" s="526"/>
      <c r="AI289" s="526" t="s">
        <v>693</v>
      </c>
      <c r="AJ289" s="526"/>
      <c r="AK289" s="526" t="s">
        <v>700</v>
      </c>
      <c r="AL289" s="526"/>
      <c r="AM289" s="526" t="s">
        <v>693</v>
      </c>
      <c r="AN289" s="526"/>
      <c r="AO289" s="526" t="s">
        <v>700</v>
      </c>
      <c r="AP289" s="526"/>
    </row>
    <row r="290" spans="1:55" ht="15" customHeight="1" x14ac:dyDescent="0.25">
      <c r="B290" s="111" t="s">
        <v>679</v>
      </c>
      <c r="C290" s="113" t="s">
        <v>935</v>
      </c>
      <c r="D290" s="112" t="s">
        <v>733</v>
      </c>
      <c r="E290" s="130" t="s">
        <v>934</v>
      </c>
      <c r="F290" s="130" t="s">
        <v>936</v>
      </c>
      <c r="G290" s="130" t="s">
        <v>734</v>
      </c>
      <c r="H290" s="131" t="s">
        <v>733</v>
      </c>
      <c r="I290" s="130" t="s">
        <v>934</v>
      </c>
      <c r="J290" s="130" t="s">
        <v>936</v>
      </c>
      <c r="K290" s="132" t="s">
        <v>735</v>
      </c>
      <c r="N290" s="160" t="s">
        <v>679</v>
      </c>
      <c r="O290" s="161" t="s">
        <v>697</v>
      </c>
      <c r="P290" s="161" t="s">
        <v>733</v>
      </c>
      <c r="Q290" s="162" t="s">
        <v>698</v>
      </c>
      <c r="R290" s="162" t="s">
        <v>699</v>
      </c>
      <c r="S290" s="162" t="s">
        <v>734</v>
      </c>
      <c r="T290" s="200" t="s">
        <v>733</v>
      </c>
      <c r="U290" s="162" t="s">
        <v>698</v>
      </c>
      <c r="V290" s="162" t="s">
        <v>699</v>
      </c>
      <c r="W290" s="163" t="s">
        <v>735</v>
      </c>
      <c r="Z290" s="205" t="s">
        <v>679</v>
      </c>
      <c r="AA290" s="271" t="s">
        <v>922</v>
      </c>
      <c r="AB290" s="271" t="s">
        <v>923</v>
      </c>
      <c r="AC290" s="271" t="s">
        <v>924</v>
      </c>
      <c r="AD290" s="271" t="s">
        <v>925</v>
      </c>
      <c r="AE290" s="272" t="s">
        <v>928</v>
      </c>
      <c r="AF290" s="272" t="s">
        <v>929</v>
      </c>
      <c r="AG290" s="272" t="s">
        <v>930</v>
      </c>
      <c r="AH290" s="272" t="s">
        <v>931</v>
      </c>
      <c r="AI290" s="273" t="s">
        <v>687</v>
      </c>
      <c r="AJ290" s="273" t="s">
        <v>688</v>
      </c>
      <c r="AK290" s="273" t="s">
        <v>689</v>
      </c>
      <c r="AL290" s="273" t="s">
        <v>690</v>
      </c>
      <c r="AM290" s="218" t="s">
        <v>687</v>
      </c>
      <c r="AN290" s="273" t="s">
        <v>688</v>
      </c>
      <c r="AO290" s="273" t="s">
        <v>689</v>
      </c>
      <c r="AP290" s="273" t="s">
        <v>690</v>
      </c>
    </row>
    <row r="291" spans="1:55" ht="15" customHeight="1" x14ac:dyDescent="0.25">
      <c r="A291" s="15">
        <v>1500</v>
      </c>
      <c r="B291" s="56" t="s">
        <v>217</v>
      </c>
      <c r="C291" s="285">
        <v>13</v>
      </c>
      <c r="D291" s="286">
        <v>57135.05</v>
      </c>
      <c r="E291" s="287">
        <v>43554</v>
      </c>
      <c r="F291" s="287">
        <v>-13581.050000000003</v>
      </c>
      <c r="G291" s="133">
        <f t="shared" ref="G291:G300" si="207">IFERROR(F291/E291,"--")</f>
        <v>-0.31182095789135333</v>
      </c>
      <c r="H291" s="276">
        <v>77914.429437982384</v>
      </c>
      <c r="I291" s="275">
        <v>61810.600162640003</v>
      </c>
      <c r="J291" s="287">
        <v>-16103.829275342381</v>
      </c>
      <c r="K291" s="133">
        <f t="shared" ref="K291:K300" si="208">IFERROR(J291/I291,"--")</f>
        <v>-0.2605350738056087</v>
      </c>
      <c r="N291" s="164" t="s">
        <v>217</v>
      </c>
      <c r="O291" s="288">
        <v>14</v>
      </c>
      <c r="P291" s="289">
        <v>53096</v>
      </c>
      <c r="Q291" s="290">
        <v>40560</v>
      </c>
      <c r="R291" s="290">
        <v>-12536</v>
      </c>
      <c r="S291" s="181">
        <v>-0.30907297830374753</v>
      </c>
      <c r="T291" s="291">
        <v>71857.482738735998</v>
      </c>
      <c r="U291" s="277">
        <v>56962.1516768</v>
      </c>
      <c r="V291" s="290">
        <v>-14895.331061935998</v>
      </c>
      <c r="W291" s="182">
        <v>-0.26149523189452634</v>
      </c>
      <c r="Z291" s="292" t="s">
        <v>217</v>
      </c>
      <c r="AA291" s="189">
        <f t="shared" ref="AA291:AA299" si="209">IF($D291="-","-",IF($P291="-","-",D291))</f>
        <v>57135.05</v>
      </c>
      <c r="AB291" s="189">
        <f t="shared" ref="AB291:AB299" si="210">IF($D291="-","-",IF($P291="-","-",E291))</f>
        <v>43554</v>
      </c>
      <c r="AC291" s="189">
        <f t="shared" ref="AC291:AC299" si="211">IF($D291="-","-",IF($P291="-","-",H291))</f>
        <v>77914.429437982384</v>
      </c>
      <c r="AD291" s="189">
        <f t="shared" ref="AD291:AD299" si="212">IF($D291="-","-",IF($P291="-","-",I291))</f>
        <v>61810.600162640003</v>
      </c>
      <c r="AE291" s="189">
        <f t="shared" ref="AE291:AE299" si="213">IF($D291="-","-",IF($P291="-","-",P291))</f>
        <v>53096</v>
      </c>
      <c r="AF291" s="189">
        <f t="shared" ref="AF291:AF299" si="214">IF($D291="-","-",IF($P291="-","-",Q291))</f>
        <v>40560</v>
      </c>
      <c r="AG291" s="189">
        <f t="shared" ref="AG291:AG299" si="215">IF($D291="-","-",IF($P291="-","-",T291))</f>
        <v>71857.482738735998</v>
      </c>
      <c r="AH291" s="189">
        <f t="shared" ref="AH291:AH299" si="216">IF($D291="-","-",IF($P291="-","-",U291))</f>
        <v>56962.1516768</v>
      </c>
      <c r="AI291" s="206">
        <f t="shared" ref="AI291:AL300" si="217">IFERROR(AA291-AE291,"-")</f>
        <v>4039.0500000000029</v>
      </c>
      <c r="AJ291" s="206">
        <f t="shared" si="217"/>
        <v>2994</v>
      </c>
      <c r="AK291" s="189">
        <f t="shared" si="217"/>
        <v>6056.9466992463858</v>
      </c>
      <c r="AL291" s="189">
        <f t="shared" si="217"/>
        <v>4848.4484858400028</v>
      </c>
      <c r="AM291" s="219">
        <f t="shared" ref="AM291:AP297" si="218">IFERROR(AI291/AE291,"-")</f>
        <v>7.6070702124453868E-2</v>
      </c>
      <c r="AN291" s="214">
        <f t="shared" si="218"/>
        <v>7.3816568047337272E-2</v>
      </c>
      <c r="AO291" s="214">
        <f t="shared" si="218"/>
        <v>8.4291106067110891E-2</v>
      </c>
      <c r="AP291" s="214">
        <f t="shared" si="218"/>
        <v>8.5117017934115677E-2</v>
      </c>
    </row>
    <row r="292" spans="1:55" ht="15" customHeight="1" x14ac:dyDescent="0.25">
      <c r="A292" s="15">
        <v>1502</v>
      </c>
      <c r="B292" s="56" t="s">
        <v>218</v>
      </c>
      <c r="C292" s="285">
        <v>9</v>
      </c>
      <c r="D292" s="286">
        <v>116592.5</v>
      </c>
      <c r="E292" s="287">
        <v>82992</v>
      </c>
      <c r="F292" s="287">
        <v>-33600.5</v>
      </c>
      <c r="G292" s="133">
        <f t="shared" si="207"/>
        <v>-0.40486432427221902</v>
      </c>
      <c r="H292" s="276">
        <v>141622.44625034247</v>
      </c>
      <c r="I292" s="275">
        <v>106243.86299071999</v>
      </c>
      <c r="J292" s="287">
        <v>-35378.583259622479</v>
      </c>
      <c r="K292" s="133">
        <f t="shared" si="208"/>
        <v>-0.33299413503735897</v>
      </c>
      <c r="N292" s="164" t="s">
        <v>218</v>
      </c>
      <c r="O292" s="288">
        <v>9</v>
      </c>
      <c r="P292" s="289">
        <v>113773</v>
      </c>
      <c r="Q292" s="290">
        <v>77286</v>
      </c>
      <c r="R292" s="290">
        <v>-36487</v>
      </c>
      <c r="S292" s="181">
        <v>-0.47210361514375176</v>
      </c>
      <c r="T292" s="291">
        <v>138719.01786252001</v>
      </c>
      <c r="U292" s="277">
        <v>98492.730732080003</v>
      </c>
      <c r="V292" s="290">
        <v>-40226.287130440003</v>
      </c>
      <c r="W292" s="182">
        <v>-0.40841884300947628</v>
      </c>
      <c r="Z292" s="292" t="s">
        <v>218</v>
      </c>
      <c r="AA292" s="189">
        <f t="shared" si="209"/>
        <v>116592.5</v>
      </c>
      <c r="AB292" s="189">
        <f t="shared" si="210"/>
        <v>82992</v>
      </c>
      <c r="AC292" s="189">
        <f t="shared" si="211"/>
        <v>141622.44625034247</v>
      </c>
      <c r="AD292" s="189">
        <f t="shared" si="212"/>
        <v>106243.86299071999</v>
      </c>
      <c r="AE292" s="189">
        <f t="shared" si="213"/>
        <v>113773</v>
      </c>
      <c r="AF292" s="189">
        <f t="shared" si="214"/>
        <v>77286</v>
      </c>
      <c r="AG292" s="189">
        <f t="shared" si="215"/>
        <v>138719.01786252001</v>
      </c>
      <c r="AH292" s="189">
        <f t="shared" si="216"/>
        <v>98492.730732080003</v>
      </c>
      <c r="AI292" s="206">
        <f t="shared" si="217"/>
        <v>2819.5</v>
      </c>
      <c r="AJ292" s="206">
        <f t="shared" si="217"/>
        <v>5706</v>
      </c>
      <c r="AK292" s="189">
        <f t="shared" si="217"/>
        <v>2903.4283878224669</v>
      </c>
      <c r="AL292" s="189">
        <f t="shared" si="217"/>
        <v>7751.1322586399911</v>
      </c>
      <c r="AM292" s="219">
        <f t="shared" si="218"/>
        <v>2.4781802360841324E-2</v>
      </c>
      <c r="AN292" s="214">
        <f t="shared" si="218"/>
        <v>7.38296716093471E-2</v>
      </c>
      <c r="AO292" s="214">
        <f t="shared" si="218"/>
        <v>2.0930283623403118E-2</v>
      </c>
      <c r="AP292" s="214">
        <f t="shared" si="218"/>
        <v>7.869750590756415E-2</v>
      </c>
    </row>
    <row r="293" spans="1:55" ht="15" customHeight="1" x14ac:dyDescent="0.25">
      <c r="A293" s="15">
        <v>1504</v>
      </c>
      <c r="B293" s="56" t="s">
        <v>219</v>
      </c>
      <c r="C293" s="285">
        <v>15</v>
      </c>
      <c r="D293" s="286">
        <v>96972</v>
      </c>
      <c r="E293" s="287">
        <v>79002</v>
      </c>
      <c r="F293" s="287">
        <v>-17970</v>
      </c>
      <c r="G293" s="133">
        <f t="shared" si="207"/>
        <v>-0.22746259588364851</v>
      </c>
      <c r="H293" s="276">
        <v>123587.08600752</v>
      </c>
      <c r="I293" s="275">
        <v>101748.48496232</v>
      </c>
      <c r="J293" s="287">
        <v>-21838.601045200005</v>
      </c>
      <c r="K293" s="133">
        <f t="shared" si="208"/>
        <v>-0.21463318154847597</v>
      </c>
      <c r="N293" s="164" t="s">
        <v>219</v>
      </c>
      <c r="O293" s="288">
        <v>12</v>
      </c>
      <c r="P293" s="289">
        <v>87337.75</v>
      </c>
      <c r="Q293" s="290">
        <v>73572</v>
      </c>
      <c r="R293" s="290">
        <v>-13765.75</v>
      </c>
      <c r="S293" s="181">
        <v>-0.18710582830424619</v>
      </c>
      <c r="T293" s="291">
        <v>110883.05072679</v>
      </c>
      <c r="U293" s="277">
        <v>94292.856784160002</v>
      </c>
      <c r="V293" s="290">
        <v>-16590.193942629994</v>
      </c>
      <c r="W293" s="182">
        <v>-0.17594327405527219</v>
      </c>
      <c r="Z293" s="292" t="s">
        <v>219</v>
      </c>
      <c r="AA293" s="189">
        <f t="shared" si="209"/>
        <v>96972</v>
      </c>
      <c r="AB293" s="189">
        <f t="shared" si="210"/>
        <v>79002</v>
      </c>
      <c r="AC293" s="189">
        <f t="shared" si="211"/>
        <v>123587.08600752</v>
      </c>
      <c r="AD293" s="189">
        <f t="shared" si="212"/>
        <v>101748.48496232</v>
      </c>
      <c r="AE293" s="189">
        <f t="shared" si="213"/>
        <v>87337.75</v>
      </c>
      <c r="AF293" s="189">
        <f t="shared" si="214"/>
        <v>73572</v>
      </c>
      <c r="AG293" s="189">
        <f t="shared" si="215"/>
        <v>110883.05072679</v>
      </c>
      <c r="AH293" s="189">
        <f t="shared" si="216"/>
        <v>94292.856784160002</v>
      </c>
      <c r="AI293" s="206">
        <f t="shared" si="217"/>
        <v>9634.25</v>
      </c>
      <c r="AJ293" s="206">
        <f t="shared" si="217"/>
        <v>5430</v>
      </c>
      <c r="AK293" s="189">
        <f t="shared" si="217"/>
        <v>12704.035280730008</v>
      </c>
      <c r="AL293" s="189">
        <f t="shared" si="217"/>
        <v>7455.6281781599973</v>
      </c>
      <c r="AM293" s="219">
        <f t="shared" si="218"/>
        <v>0.11031026102687555</v>
      </c>
      <c r="AN293" s="214">
        <f t="shared" si="218"/>
        <v>7.3805251998042734E-2</v>
      </c>
      <c r="AO293" s="214">
        <f t="shared" si="218"/>
        <v>0.11457148046938286</v>
      </c>
      <c r="AP293" s="214">
        <f t="shared" si="218"/>
        <v>7.90688545498862E-2</v>
      </c>
    </row>
    <row r="294" spans="1:55" ht="15" customHeight="1" x14ac:dyDescent="0.25">
      <c r="A294" s="15">
        <v>1505</v>
      </c>
      <c r="B294" s="56" t="s">
        <v>220</v>
      </c>
      <c r="C294" s="285">
        <v>7</v>
      </c>
      <c r="D294" s="286">
        <v>64277.75</v>
      </c>
      <c r="E294" s="287">
        <v>54096</v>
      </c>
      <c r="F294" s="287">
        <v>-10181.75</v>
      </c>
      <c r="G294" s="133">
        <f t="shared" si="207"/>
        <v>-0.1882163191363502</v>
      </c>
      <c r="H294" s="276">
        <v>85057.129437982381</v>
      </c>
      <c r="I294" s="275">
        <v>73687.862111359995</v>
      </c>
      <c r="J294" s="287">
        <v>-11369.267326622386</v>
      </c>
      <c r="K294" s="133">
        <f t="shared" si="208"/>
        <v>-0.15428955327053326</v>
      </c>
      <c r="N294" s="164" t="s">
        <v>220</v>
      </c>
      <c r="O294" s="288">
        <v>8</v>
      </c>
      <c r="P294" s="289">
        <v>60176</v>
      </c>
      <c r="Q294" s="290">
        <v>47922</v>
      </c>
      <c r="R294" s="290">
        <v>-12254</v>
      </c>
      <c r="S294" s="181">
        <v>-0.25570719085180083</v>
      </c>
      <c r="T294" s="291">
        <v>79698.088070982398</v>
      </c>
      <c r="U294" s="277">
        <v>65287.265302159998</v>
      </c>
      <c r="V294" s="290">
        <v>-14410.8227688224</v>
      </c>
      <c r="W294" s="182">
        <v>-0.22072945929235643</v>
      </c>
      <c r="Z294" s="292" t="s">
        <v>220</v>
      </c>
      <c r="AA294" s="189">
        <f t="shared" si="209"/>
        <v>64277.75</v>
      </c>
      <c r="AB294" s="189">
        <f t="shared" si="210"/>
        <v>54096</v>
      </c>
      <c r="AC294" s="189">
        <f t="shared" si="211"/>
        <v>85057.129437982381</v>
      </c>
      <c r="AD294" s="189">
        <f t="shared" si="212"/>
        <v>73687.862111359995</v>
      </c>
      <c r="AE294" s="189">
        <f t="shared" si="213"/>
        <v>60176</v>
      </c>
      <c r="AF294" s="189">
        <f t="shared" si="214"/>
        <v>47922</v>
      </c>
      <c r="AG294" s="189">
        <f t="shared" si="215"/>
        <v>79698.088070982398</v>
      </c>
      <c r="AH294" s="189">
        <f t="shared" si="216"/>
        <v>65287.265302159998</v>
      </c>
      <c r="AI294" s="206">
        <f t="shared" si="217"/>
        <v>4101.75</v>
      </c>
      <c r="AJ294" s="206">
        <f t="shared" si="217"/>
        <v>6174</v>
      </c>
      <c r="AK294" s="189">
        <f t="shared" si="217"/>
        <v>5359.0413669999834</v>
      </c>
      <c r="AL294" s="189">
        <f t="shared" si="217"/>
        <v>8400.5968091999966</v>
      </c>
      <c r="AM294" s="219">
        <f t="shared" si="218"/>
        <v>6.8162556500930602E-2</v>
      </c>
      <c r="AN294" s="214">
        <f t="shared" si="218"/>
        <v>0.12883435582822086</v>
      </c>
      <c r="AO294" s="214">
        <f t="shared" si="218"/>
        <v>6.7241780784339525E-2</v>
      </c>
      <c r="AP294" s="214">
        <f t="shared" si="218"/>
        <v>0.12867129248438694</v>
      </c>
    </row>
    <row r="295" spans="1:55" ht="15" customHeight="1" x14ac:dyDescent="0.25">
      <c r="A295" s="15">
        <v>1506</v>
      </c>
      <c r="B295" s="56" t="s">
        <v>221</v>
      </c>
      <c r="C295" s="285">
        <v>14</v>
      </c>
      <c r="D295" s="286">
        <v>81906.797586932051</v>
      </c>
      <c r="E295" s="287">
        <v>64344</v>
      </c>
      <c r="F295" s="287">
        <v>-17562.797586932051</v>
      </c>
      <c r="G295" s="133">
        <f t="shared" si="207"/>
        <v>-0.27295159745946868</v>
      </c>
      <c r="H295" s="276">
        <v>104479.44825321989</v>
      </c>
      <c r="I295" s="275">
        <v>85233.885679040002</v>
      </c>
      <c r="J295" s="287">
        <v>-19245.562574179887</v>
      </c>
      <c r="K295" s="133">
        <f t="shared" si="208"/>
        <v>-0.2257970808306419</v>
      </c>
      <c r="N295" s="164" t="s">
        <v>221</v>
      </c>
      <c r="O295" s="288">
        <v>13</v>
      </c>
      <c r="P295" s="289">
        <v>78698.70937790157</v>
      </c>
      <c r="Q295" s="290">
        <v>59928</v>
      </c>
      <c r="R295" s="290">
        <v>-18770.70937790157</v>
      </c>
      <c r="S295" s="181">
        <v>-0.31322102152418851</v>
      </c>
      <c r="T295" s="291">
        <v>99717.301135610789</v>
      </c>
      <c r="U295" s="277">
        <v>78863.917595840001</v>
      </c>
      <c r="V295" s="290">
        <v>-20853.383539770788</v>
      </c>
      <c r="W295" s="182">
        <v>-0.26442236418738074</v>
      </c>
      <c r="Z295" s="292" t="s">
        <v>221</v>
      </c>
      <c r="AA295" s="189">
        <f t="shared" si="209"/>
        <v>81906.797586932051</v>
      </c>
      <c r="AB295" s="189">
        <f t="shared" si="210"/>
        <v>64344</v>
      </c>
      <c r="AC295" s="189">
        <f t="shared" si="211"/>
        <v>104479.44825321989</v>
      </c>
      <c r="AD295" s="189">
        <f t="shared" si="212"/>
        <v>85233.885679040002</v>
      </c>
      <c r="AE295" s="189">
        <f t="shared" si="213"/>
        <v>78698.70937790157</v>
      </c>
      <c r="AF295" s="189">
        <f t="shared" si="214"/>
        <v>59928</v>
      </c>
      <c r="AG295" s="189">
        <f t="shared" si="215"/>
        <v>99717.301135610789</v>
      </c>
      <c r="AH295" s="189">
        <f t="shared" si="216"/>
        <v>78863.917595840001</v>
      </c>
      <c r="AI295" s="206">
        <f t="shared" si="217"/>
        <v>3208.0882090304804</v>
      </c>
      <c r="AJ295" s="206">
        <f t="shared" si="217"/>
        <v>4416</v>
      </c>
      <c r="AK295" s="189">
        <f t="shared" si="217"/>
        <v>4762.1471176091</v>
      </c>
      <c r="AL295" s="189">
        <f t="shared" si="217"/>
        <v>6369.9680832000013</v>
      </c>
      <c r="AM295" s="219">
        <f t="shared" si="218"/>
        <v>4.0764178147136232E-2</v>
      </c>
      <c r="AN295" s="214">
        <f t="shared" si="218"/>
        <v>7.3688426111333596E-2</v>
      </c>
      <c r="AO295" s="214">
        <f t="shared" si="218"/>
        <v>4.7756478197627975E-2</v>
      </c>
      <c r="AP295" s="214">
        <f t="shared" si="218"/>
        <v>8.0771641548986542E-2</v>
      </c>
    </row>
    <row r="296" spans="1:55" ht="15" customHeight="1" x14ac:dyDescent="0.25">
      <c r="A296" s="15">
        <v>1507</v>
      </c>
      <c r="B296" s="56" t="s">
        <v>222</v>
      </c>
      <c r="C296" s="285">
        <v>12</v>
      </c>
      <c r="D296" s="286">
        <v>70526.121568627452</v>
      </c>
      <c r="E296" s="287">
        <v>68994</v>
      </c>
      <c r="F296" s="287">
        <v>-1532.1215686274518</v>
      </c>
      <c r="G296" s="133">
        <f t="shared" si="207"/>
        <v>-2.2206591422840417E-2</v>
      </c>
      <c r="H296" s="276">
        <v>91429.589768100355</v>
      </c>
      <c r="I296" s="275">
        <v>90472.860073040007</v>
      </c>
      <c r="J296" s="287">
        <v>-956.7296950603486</v>
      </c>
      <c r="K296" s="133">
        <f t="shared" si="208"/>
        <v>-1.0574770094456695E-2</v>
      </c>
      <c r="N296" s="164" t="s">
        <v>222</v>
      </c>
      <c r="O296" s="288">
        <v>11</v>
      </c>
      <c r="P296" s="289">
        <v>61336.329200075736</v>
      </c>
      <c r="Q296" s="290">
        <v>58218</v>
      </c>
      <c r="R296" s="290">
        <v>-3118.3292000757356</v>
      </c>
      <c r="S296" s="181">
        <v>-5.3562973652061828E-2</v>
      </c>
      <c r="T296" s="291">
        <v>82965.543685045617</v>
      </c>
      <c r="U296" s="277">
        <v>76930.21149704</v>
      </c>
      <c r="V296" s="290">
        <v>-6035.3321880056174</v>
      </c>
      <c r="W296" s="182">
        <v>-7.8452042059416874E-2</v>
      </c>
      <c r="Z296" s="292" t="s">
        <v>222</v>
      </c>
      <c r="AA296" s="189">
        <f t="shared" si="209"/>
        <v>70526.121568627452</v>
      </c>
      <c r="AB296" s="189">
        <f t="shared" si="210"/>
        <v>68994</v>
      </c>
      <c r="AC296" s="189">
        <f t="shared" si="211"/>
        <v>91429.589768100355</v>
      </c>
      <c r="AD296" s="189">
        <f t="shared" si="212"/>
        <v>90472.860073040007</v>
      </c>
      <c r="AE296" s="189">
        <f t="shared" si="213"/>
        <v>61336.329200075736</v>
      </c>
      <c r="AF296" s="189">
        <f t="shared" si="214"/>
        <v>58218</v>
      </c>
      <c r="AG296" s="189">
        <f t="shared" si="215"/>
        <v>82965.543685045617</v>
      </c>
      <c r="AH296" s="189">
        <f t="shared" si="216"/>
        <v>76930.21149704</v>
      </c>
      <c r="AI296" s="206">
        <f t="shared" si="217"/>
        <v>9189.7923685517162</v>
      </c>
      <c r="AJ296" s="206">
        <f t="shared" si="217"/>
        <v>10776</v>
      </c>
      <c r="AK296" s="189">
        <f t="shared" si="217"/>
        <v>8464.0460830547381</v>
      </c>
      <c r="AL296" s="189">
        <f t="shared" si="217"/>
        <v>13542.648576000007</v>
      </c>
      <c r="AM296" s="219">
        <f t="shared" si="218"/>
        <v>0.14982625286516771</v>
      </c>
      <c r="AN296" s="214">
        <f t="shared" si="218"/>
        <v>0.18509739255900237</v>
      </c>
      <c r="AO296" s="214">
        <f t="shared" si="218"/>
        <v>0.10201881054605041</v>
      </c>
      <c r="AP296" s="214">
        <f t="shared" si="218"/>
        <v>0.17603810404864256</v>
      </c>
    </row>
    <row r="297" spans="1:55" ht="15" customHeight="1" x14ac:dyDescent="0.25">
      <c r="A297" s="15">
        <v>1508</v>
      </c>
      <c r="B297" s="56" t="s">
        <v>223</v>
      </c>
      <c r="C297" s="285">
        <v>8</v>
      </c>
      <c r="D297" s="286">
        <v>71031.71518324608</v>
      </c>
      <c r="E297" s="287">
        <v>50766</v>
      </c>
      <c r="F297" s="287">
        <v>-20265.71518324608</v>
      </c>
      <c r="G297" s="133">
        <f t="shared" si="207"/>
        <v>-0.39919858139790571</v>
      </c>
      <c r="H297" s="276">
        <v>94471.943431394713</v>
      </c>
      <c r="I297" s="275">
        <v>69936.080448559995</v>
      </c>
      <c r="J297" s="287">
        <v>-24535.862982834718</v>
      </c>
      <c r="K297" s="133">
        <f t="shared" si="208"/>
        <v>-0.35083268643974913</v>
      </c>
      <c r="N297" s="164" t="s">
        <v>223</v>
      </c>
      <c r="O297" s="288">
        <v>8</v>
      </c>
      <c r="P297" s="289">
        <v>63622.310061601645</v>
      </c>
      <c r="Q297" s="290">
        <v>47274</v>
      </c>
      <c r="R297" s="290">
        <v>-16348.310061601645</v>
      </c>
      <c r="S297" s="181">
        <v>-0.34582032537127483</v>
      </c>
      <c r="T297" s="291">
        <v>86136.506477688366</v>
      </c>
      <c r="U297" s="277">
        <v>64554.492464720002</v>
      </c>
      <c r="V297" s="290">
        <v>-21582.014012968364</v>
      </c>
      <c r="W297" s="182">
        <v>-0.33432241799071161</v>
      </c>
      <c r="Z297" s="292" t="s">
        <v>223</v>
      </c>
      <c r="AA297" s="189">
        <f t="shared" si="209"/>
        <v>71031.71518324608</v>
      </c>
      <c r="AB297" s="189">
        <f t="shared" si="210"/>
        <v>50766</v>
      </c>
      <c r="AC297" s="189">
        <f t="shared" si="211"/>
        <v>94471.943431394713</v>
      </c>
      <c r="AD297" s="189">
        <f t="shared" si="212"/>
        <v>69936.080448559995</v>
      </c>
      <c r="AE297" s="189">
        <f t="shared" si="213"/>
        <v>63622.310061601645</v>
      </c>
      <c r="AF297" s="189">
        <f t="shared" si="214"/>
        <v>47274</v>
      </c>
      <c r="AG297" s="189">
        <f t="shared" si="215"/>
        <v>86136.506477688366</v>
      </c>
      <c r="AH297" s="189">
        <f t="shared" si="216"/>
        <v>64554.492464720002</v>
      </c>
      <c r="AI297" s="206">
        <f t="shared" si="217"/>
        <v>7409.405121644435</v>
      </c>
      <c r="AJ297" s="206">
        <f t="shared" si="217"/>
        <v>3492</v>
      </c>
      <c r="AK297" s="189">
        <f t="shared" si="217"/>
        <v>8335.4369537063467</v>
      </c>
      <c r="AL297" s="189">
        <f t="shared" si="217"/>
        <v>5381.5879838399924</v>
      </c>
      <c r="AM297" s="219">
        <f t="shared" si="218"/>
        <v>0.11645922813035797</v>
      </c>
      <c r="AN297" s="214">
        <f t="shared" si="218"/>
        <v>7.3867242035791342E-2</v>
      </c>
      <c r="AO297" s="214">
        <f t="shared" si="218"/>
        <v>9.677008384204025E-2</v>
      </c>
      <c r="AP297" s="214">
        <f t="shared" si="218"/>
        <v>8.3365042127488048E-2</v>
      </c>
    </row>
    <row r="298" spans="1:55" ht="15" customHeight="1" x14ac:dyDescent="0.25">
      <c r="A298" s="15">
        <v>1509</v>
      </c>
      <c r="B298" s="56" t="s">
        <v>224</v>
      </c>
      <c r="C298" s="285">
        <v>7</v>
      </c>
      <c r="D298" s="286">
        <v>98387.728910006466</v>
      </c>
      <c r="E298" s="287">
        <v>77082</v>
      </c>
      <c r="F298" s="287">
        <v>-21305.728910006466</v>
      </c>
      <c r="G298" s="133">
        <f t="shared" si="207"/>
        <v>-0.27640342635124238</v>
      </c>
      <c r="H298" s="276">
        <v>121127.42185664483</v>
      </c>
      <c r="I298" s="275">
        <v>99585.295535120007</v>
      </c>
      <c r="J298" s="287">
        <v>-21542.126321524818</v>
      </c>
      <c r="K298" s="133">
        <f t="shared" si="208"/>
        <v>-0.21631834505052722</v>
      </c>
      <c r="N298" s="164" t="s">
        <v>224</v>
      </c>
      <c r="O298" s="288">
        <v>6</v>
      </c>
      <c r="P298" s="289">
        <v>85516.974660829452</v>
      </c>
      <c r="Q298" s="290">
        <v>63432</v>
      </c>
      <c r="R298" s="290">
        <v>-22084.974660829452</v>
      </c>
      <c r="S298" s="181">
        <v>-0.34816771756888404</v>
      </c>
      <c r="T298" s="291">
        <v>104778.29554557051</v>
      </c>
      <c r="U298" s="277">
        <v>82826.318864960005</v>
      </c>
      <c r="V298" s="290">
        <v>-21951.976680610504</v>
      </c>
      <c r="W298" s="182">
        <v>-0.26503624670801795</v>
      </c>
      <c r="Z298" s="292" t="s">
        <v>224</v>
      </c>
      <c r="AA298" s="189">
        <f t="shared" si="209"/>
        <v>98387.728910006466</v>
      </c>
      <c r="AB298" s="189">
        <f t="shared" si="210"/>
        <v>77082</v>
      </c>
      <c r="AC298" s="189">
        <f t="shared" si="211"/>
        <v>121127.42185664483</v>
      </c>
      <c r="AD298" s="189">
        <f t="shared" si="212"/>
        <v>99585.295535120007</v>
      </c>
      <c r="AE298" s="189">
        <f t="shared" si="213"/>
        <v>85516.974660829452</v>
      </c>
      <c r="AF298" s="189">
        <f t="shared" si="214"/>
        <v>63432</v>
      </c>
      <c r="AG298" s="189">
        <f t="shared" si="215"/>
        <v>104778.29554557051</v>
      </c>
      <c r="AH298" s="189">
        <f t="shared" si="216"/>
        <v>82826.318864960005</v>
      </c>
      <c r="AI298" s="206">
        <f t="shared" si="217"/>
        <v>12870.754249177015</v>
      </c>
      <c r="AJ298" s="206">
        <f t="shared" si="217"/>
        <v>13650</v>
      </c>
      <c r="AK298" s="189">
        <f t="shared" si="217"/>
        <v>16349.126311074317</v>
      </c>
      <c r="AL298" s="189">
        <f t="shared" si="217"/>
        <v>16758.976670160002</v>
      </c>
      <c r="AM298" s="219">
        <f>IFERROR(AI298/AE298,"-")</f>
        <v>0.15050525699984085</v>
      </c>
      <c r="AN298" s="214">
        <f>IFERROR(AJ298/AF298,"-")</f>
        <v>0.21519107075293228</v>
      </c>
      <c r="AO298" s="214">
        <f>IFERROR(AK298/AG298,"-")</f>
        <v>0.15603542915014973</v>
      </c>
      <c r="AP298" s="214">
        <f>IFERROR(AL298/AH298,"-")</f>
        <v>0.20233878433597696</v>
      </c>
    </row>
    <row r="299" spans="1:55" ht="15" customHeight="1" x14ac:dyDescent="0.25">
      <c r="A299" s="15">
        <v>1510</v>
      </c>
      <c r="B299" s="56" t="s">
        <v>225</v>
      </c>
      <c r="C299" s="285">
        <v>14</v>
      </c>
      <c r="D299" s="286">
        <v>122669.77417943106</v>
      </c>
      <c r="E299" s="287">
        <v>80970</v>
      </c>
      <c r="F299" s="287">
        <v>-41699.774179431057</v>
      </c>
      <c r="G299" s="133">
        <f t="shared" si="207"/>
        <v>-0.51500276867273131</v>
      </c>
      <c r="H299" s="276">
        <v>148446.43393961279</v>
      </c>
      <c r="I299" s="275">
        <v>103965.75412520001</v>
      </c>
      <c r="J299" s="287">
        <v>-44480.679814412782</v>
      </c>
      <c r="K299" s="133">
        <f t="shared" si="208"/>
        <v>-0.4278397265396377</v>
      </c>
      <c r="N299" s="164" t="s">
        <v>225</v>
      </c>
      <c r="O299" s="288">
        <v>14</v>
      </c>
      <c r="P299" s="289">
        <v>104791.20911086719</v>
      </c>
      <c r="Q299" s="290">
        <v>69990</v>
      </c>
      <c r="R299" s="290">
        <v>-34801.209110867188</v>
      </c>
      <c r="S299" s="181">
        <v>-0.49723116317855676</v>
      </c>
      <c r="T299" s="291">
        <v>128697.7360847824</v>
      </c>
      <c r="U299" s="277">
        <v>90242.251377199995</v>
      </c>
      <c r="V299" s="290">
        <v>-38455.484707582407</v>
      </c>
      <c r="W299" s="182">
        <v>-0.42613614045203568</v>
      </c>
      <c r="Z299" s="292" t="s">
        <v>225</v>
      </c>
      <c r="AA299" s="189">
        <f t="shared" si="209"/>
        <v>122669.77417943106</v>
      </c>
      <c r="AB299" s="189">
        <f t="shared" si="210"/>
        <v>80970</v>
      </c>
      <c r="AC299" s="189">
        <f t="shared" si="211"/>
        <v>148446.43393961279</v>
      </c>
      <c r="AD299" s="189">
        <f t="shared" si="212"/>
        <v>103965.75412520001</v>
      </c>
      <c r="AE299" s="189">
        <f t="shared" si="213"/>
        <v>104791.20911086719</v>
      </c>
      <c r="AF299" s="189">
        <f t="shared" si="214"/>
        <v>69990</v>
      </c>
      <c r="AG299" s="189">
        <f t="shared" si="215"/>
        <v>128697.7360847824</v>
      </c>
      <c r="AH299" s="189">
        <f t="shared" si="216"/>
        <v>90242.251377199995</v>
      </c>
      <c r="AI299" s="206">
        <f t="shared" si="217"/>
        <v>17878.565068563868</v>
      </c>
      <c r="AJ299" s="206">
        <f t="shared" si="217"/>
        <v>10980</v>
      </c>
      <c r="AK299" s="189">
        <f t="shared" si="217"/>
        <v>19748.697854830389</v>
      </c>
      <c r="AL299" s="189">
        <f t="shared" si="217"/>
        <v>13723.502748000014</v>
      </c>
      <c r="AM299" s="219">
        <f t="shared" ref="AM299:AP299" si="219">IFERROR(AI299/AE299,"-")</f>
        <v>0.1706113062370401</v>
      </c>
      <c r="AN299" s="214">
        <f t="shared" si="219"/>
        <v>0.15687955422203173</v>
      </c>
      <c r="AO299" s="214">
        <f t="shared" si="219"/>
        <v>0.15345023506723154</v>
      </c>
      <c r="AP299" s="214">
        <f t="shared" si="219"/>
        <v>0.15207402894501923</v>
      </c>
    </row>
    <row r="300" spans="1:55" ht="15" customHeight="1" x14ac:dyDescent="0.25">
      <c r="A300" s="14"/>
      <c r="B300" s="62" t="s">
        <v>477</v>
      </c>
      <c r="C300" s="63"/>
      <c r="D300" s="124">
        <v>86611.048603138115</v>
      </c>
      <c r="E300" s="124">
        <v>66866.666666666672</v>
      </c>
      <c r="F300" s="124">
        <v>-19744.381936471444</v>
      </c>
      <c r="G300" s="125">
        <f t="shared" si="207"/>
        <v>-0.29527988937893485</v>
      </c>
      <c r="H300" s="126">
        <v>109792.88093142222</v>
      </c>
      <c r="I300" s="127">
        <v>88076.076231999992</v>
      </c>
      <c r="J300" s="124">
        <v>-21716.804699422224</v>
      </c>
      <c r="K300" s="125">
        <f t="shared" si="208"/>
        <v>-0.24656871228253044</v>
      </c>
      <c r="N300" s="183" t="s">
        <v>477</v>
      </c>
      <c r="O300" s="184"/>
      <c r="P300" s="185">
        <v>78705.364712363968</v>
      </c>
      <c r="Q300" s="185">
        <v>59798</v>
      </c>
      <c r="R300" s="185">
        <v>-18907.364712363968</v>
      </c>
      <c r="S300" s="186">
        <v>-0.31618724225499129</v>
      </c>
      <c r="T300" s="201">
        <v>100383.66914752511</v>
      </c>
      <c r="U300" s="187">
        <v>78716.910699439992</v>
      </c>
      <c r="V300" s="185">
        <v>-21666.758448085122</v>
      </c>
      <c r="W300" s="188">
        <v>-0.27524909521429253</v>
      </c>
      <c r="Z300" s="209" t="s">
        <v>477</v>
      </c>
      <c r="AA300" s="212">
        <f t="shared" ref="AA300:AH300" si="220">AVERAGE(AA291:AA299)</f>
        <v>86611.048603138115</v>
      </c>
      <c r="AB300" s="212">
        <f t="shared" si="220"/>
        <v>66866.666666666672</v>
      </c>
      <c r="AC300" s="212">
        <f t="shared" si="220"/>
        <v>109792.88093142222</v>
      </c>
      <c r="AD300" s="212">
        <f t="shared" si="220"/>
        <v>88076.076231999992</v>
      </c>
      <c r="AE300" s="212">
        <f t="shared" si="220"/>
        <v>78705.364712363968</v>
      </c>
      <c r="AF300" s="212">
        <f t="shared" si="220"/>
        <v>59798</v>
      </c>
      <c r="AG300" s="212">
        <f t="shared" si="220"/>
        <v>100383.66914752511</v>
      </c>
      <c r="AH300" s="212">
        <f t="shared" si="220"/>
        <v>78716.910699439992</v>
      </c>
      <c r="AI300" s="210">
        <f t="shared" si="217"/>
        <v>7905.6838907741476</v>
      </c>
      <c r="AJ300" s="210">
        <f t="shared" si="217"/>
        <v>7068.6666666666715</v>
      </c>
      <c r="AK300" s="204">
        <f t="shared" si="217"/>
        <v>9409.2117838971026</v>
      </c>
      <c r="AL300" s="204">
        <f t="shared" si="217"/>
        <v>9359.1655325600004</v>
      </c>
      <c r="AM300" s="220">
        <f t="shared" ref="AM300:AP300" si="221">AI300/AE300</f>
        <v>0.100446569552993</v>
      </c>
      <c r="AN300" s="215">
        <f t="shared" si="221"/>
        <v>0.11820908168612114</v>
      </c>
      <c r="AO300" s="215">
        <f t="shared" si="221"/>
        <v>9.373249517378375E-2</v>
      </c>
      <c r="AP300" s="215">
        <f t="shared" si="221"/>
        <v>0.11889650456806587</v>
      </c>
      <c r="AQ300" s="14"/>
      <c r="AR300" s="14"/>
      <c r="AS300" s="14"/>
      <c r="AT300" s="14"/>
      <c r="AU300" s="14"/>
      <c r="AV300" s="14"/>
      <c r="AW300" s="14"/>
      <c r="AX300" s="14"/>
      <c r="AY300" s="14"/>
      <c r="AZ300" s="14"/>
      <c r="BA300" s="14"/>
      <c r="BB300" s="14"/>
      <c r="BC300" s="14"/>
    </row>
    <row r="301" spans="1:55" ht="15" customHeight="1" x14ac:dyDescent="0.25">
      <c r="AI301" s="158"/>
      <c r="AJ301" s="158"/>
      <c r="AK301" s="159"/>
      <c r="AL301" s="159"/>
    </row>
    <row r="302" spans="1:55" ht="15" customHeight="1" x14ac:dyDescent="0.25">
      <c r="AI302" s="158"/>
      <c r="AJ302" s="158"/>
      <c r="AK302" s="159"/>
      <c r="AL302" s="159"/>
      <c r="AM302" s="159"/>
      <c r="AN302" s="159"/>
      <c r="AO302" s="159"/>
      <c r="AP302" s="159"/>
    </row>
    <row r="303" spans="1:55" ht="15" customHeight="1" x14ac:dyDescent="0.25">
      <c r="AA303" s="528"/>
      <c r="AB303" s="47"/>
      <c r="AC303" s="47"/>
      <c r="AD303" s="47"/>
      <c r="AE303" s="47"/>
      <c r="AF303" s="47"/>
      <c r="AG303" s="47"/>
      <c r="AH303" s="47"/>
      <c r="AI303" s="156" t="s">
        <v>926</v>
      </c>
      <c r="AJ303" s="158"/>
      <c r="AK303" s="159"/>
      <c r="AL303" s="159"/>
      <c r="AM303" s="156" t="s">
        <v>927</v>
      </c>
      <c r="AN303" s="157"/>
      <c r="AO303" s="157"/>
      <c r="AP303" s="157"/>
    </row>
    <row r="304" spans="1:55" ht="15" customHeight="1" x14ac:dyDescent="0.25">
      <c r="B304" s="110" t="s">
        <v>1</v>
      </c>
      <c r="C304" s="302" t="s">
        <v>765</v>
      </c>
      <c r="D304" s="303"/>
      <c r="E304" s="303"/>
      <c r="F304" s="304"/>
      <c r="G304" s="303"/>
      <c r="H304" s="303" t="s">
        <v>435</v>
      </c>
      <c r="I304" s="303"/>
      <c r="J304" s="303"/>
      <c r="K304" s="305"/>
      <c r="N304" s="293"/>
      <c r="O304" s="297" t="s">
        <v>693</v>
      </c>
      <c r="P304" s="296"/>
      <c r="Q304" s="296"/>
      <c r="R304" s="296"/>
      <c r="S304" s="296"/>
      <c r="T304" s="296" t="s">
        <v>700</v>
      </c>
      <c r="U304" s="296"/>
      <c r="V304" s="296"/>
      <c r="W304" s="296"/>
      <c r="Z304" s="293" t="s">
        <v>1</v>
      </c>
      <c r="AA304" s="156" t="s">
        <v>691</v>
      </c>
      <c r="AB304" s="526"/>
      <c r="AC304" s="526"/>
      <c r="AD304" s="526"/>
      <c r="AE304" s="526"/>
      <c r="AF304" s="526"/>
      <c r="AG304" s="526"/>
      <c r="AH304" s="526"/>
      <c r="AI304" s="526" t="s">
        <v>693</v>
      </c>
      <c r="AJ304" s="526"/>
      <c r="AK304" s="526" t="s">
        <v>700</v>
      </c>
      <c r="AL304" s="526"/>
      <c r="AM304" s="526" t="s">
        <v>693</v>
      </c>
      <c r="AN304" s="526"/>
      <c r="AO304" s="526" t="s">
        <v>700</v>
      </c>
      <c r="AP304" s="526"/>
    </row>
    <row r="305" spans="1:42" ht="15" customHeight="1" x14ac:dyDescent="0.25">
      <c r="B305" s="111" t="s">
        <v>679</v>
      </c>
      <c r="C305" s="113" t="s">
        <v>935</v>
      </c>
      <c r="D305" s="112" t="s">
        <v>733</v>
      </c>
      <c r="E305" s="130" t="s">
        <v>934</v>
      </c>
      <c r="F305" s="130" t="s">
        <v>936</v>
      </c>
      <c r="G305" s="130" t="s">
        <v>734</v>
      </c>
      <c r="H305" s="131" t="s">
        <v>733</v>
      </c>
      <c r="I305" s="130" t="s">
        <v>934</v>
      </c>
      <c r="J305" s="130" t="s">
        <v>936</v>
      </c>
      <c r="K305" s="132" t="s">
        <v>735</v>
      </c>
      <c r="N305" s="160" t="s">
        <v>679</v>
      </c>
      <c r="O305" s="161" t="s">
        <v>697</v>
      </c>
      <c r="P305" s="161" t="s">
        <v>733</v>
      </c>
      <c r="Q305" s="162" t="s">
        <v>698</v>
      </c>
      <c r="R305" s="162" t="s">
        <v>699</v>
      </c>
      <c r="S305" s="162" t="s">
        <v>734</v>
      </c>
      <c r="T305" s="200" t="s">
        <v>733</v>
      </c>
      <c r="U305" s="162" t="s">
        <v>698</v>
      </c>
      <c r="V305" s="162" t="s">
        <v>699</v>
      </c>
      <c r="W305" s="163" t="s">
        <v>735</v>
      </c>
      <c r="Z305" s="205" t="s">
        <v>679</v>
      </c>
      <c r="AA305" s="271" t="s">
        <v>922</v>
      </c>
      <c r="AB305" s="271" t="s">
        <v>923</v>
      </c>
      <c r="AC305" s="271" t="s">
        <v>924</v>
      </c>
      <c r="AD305" s="271" t="s">
        <v>925</v>
      </c>
      <c r="AE305" s="272" t="s">
        <v>928</v>
      </c>
      <c r="AF305" s="272" t="s">
        <v>929</v>
      </c>
      <c r="AG305" s="272" t="s">
        <v>930</v>
      </c>
      <c r="AH305" s="272" t="s">
        <v>931</v>
      </c>
      <c r="AI305" s="273" t="s">
        <v>687</v>
      </c>
      <c r="AJ305" s="273" t="s">
        <v>688</v>
      </c>
      <c r="AK305" s="273" t="s">
        <v>689</v>
      </c>
      <c r="AL305" s="273" t="s">
        <v>690</v>
      </c>
      <c r="AM305" s="218" t="s">
        <v>687</v>
      </c>
      <c r="AN305" s="273" t="s">
        <v>688</v>
      </c>
      <c r="AO305" s="273" t="s">
        <v>689</v>
      </c>
      <c r="AP305" s="273" t="s">
        <v>690</v>
      </c>
    </row>
    <row r="306" spans="1:42" ht="15" customHeight="1" x14ac:dyDescent="0.25">
      <c r="A306" s="15">
        <v>1600</v>
      </c>
      <c r="B306" s="56" t="s">
        <v>226</v>
      </c>
      <c r="C306" s="285">
        <v>14</v>
      </c>
      <c r="D306" s="286">
        <v>101397.14523198293</v>
      </c>
      <c r="E306" s="287">
        <v>79002</v>
      </c>
      <c r="F306" s="287">
        <v>-22395.145231982926</v>
      </c>
      <c r="G306" s="133">
        <f t="shared" ref="G306:G312" si="222">IFERROR(F306/E306,"--")</f>
        <v>-0.28347567443840571</v>
      </c>
      <c r="H306" s="276">
        <v>126187.1426844384</v>
      </c>
      <c r="I306" s="275">
        <v>101748.48496232</v>
      </c>
      <c r="J306" s="287">
        <v>-24438.657722118398</v>
      </c>
      <c r="K306" s="133">
        <f t="shared" ref="K306:K312" si="223">IFERROR(J306/I306,"--")</f>
        <v>-0.24018694461316689</v>
      </c>
      <c r="N306" s="164" t="s">
        <v>226</v>
      </c>
      <c r="O306" s="288">
        <v>10</v>
      </c>
      <c r="P306" s="289">
        <v>92900.07119780725</v>
      </c>
      <c r="Q306" s="290">
        <v>73572</v>
      </c>
      <c r="R306" s="290">
        <v>-19328.07119780725</v>
      </c>
      <c r="S306" s="181">
        <v>-0.26270960688587031</v>
      </c>
      <c r="T306" s="291">
        <v>115081.93723492169</v>
      </c>
      <c r="U306" s="277">
        <v>94292.856784160002</v>
      </c>
      <c r="V306" s="290">
        <v>-20789.080450761685</v>
      </c>
      <c r="W306" s="182">
        <v>-0.22047354550248377</v>
      </c>
      <c r="Z306" s="292" t="s">
        <v>226</v>
      </c>
      <c r="AA306" s="189">
        <f t="shared" ref="AA306:AB311" si="224">IF($D306="-","-",IF($P306="-","-",D306))</f>
        <v>101397.14523198293</v>
      </c>
      <c r="AB306" s="189">
        <f t="shared" si="224"/>
        <v>79002</v>
      </c>
      <c r="AC306" s="189">
        <f t="shared" ref="AC306:AD311" si="225">IF($D306="-","-",IF($P306="-","-",H306))</f>
        <v>126187.1426844384</v>
      </c>
      <c r="AD306" s="189">
        <f t="shared" si="225"/>
        <v>101748.48496232</v>
      </c>
      <c r="AE306" s="189">
        <f t="shared" ref="AE306:AF311" si="226">IF($D306="-","-",IF($P306="-","-",P306))</f>
        <v>92900.07119780725</v>
      </c>
      <c r="AF306" s="189">
        <f t="shared" si="226"/>
        <v>73572</v>
      </c>
      <c r="AG306" s="189">
        <f t="shared" ref="AG306:AH311" si="227">IF($D306="-","-",IF($P306="-","-",T306))</f>
        <v>115081.93723492169</v>
      </c>
      <c r="AH306" s="189">
        <f t="shared" si="227"/>
        <v>94292.856784160002</v>
      </c>
      <c r="AI306" s="206">
        <f t="shared" ref="AI306:AL312" si="228">IFERROR(AA306-AE306,"-")</f>
        <v>8497.0740341756755</v>
      </c>
      <c r="AJ306" s="206">
        <f t="shared" si="228"/>
        <v>5430</v>
      </c>
      <c r="AK306" s="189">
        <f t="shared" si="228"/>
        <v>11105.20544951671</v>
      </c>
      <c r="AL306" s="189">
        <f t="shared" si="228"/>
        <v>7455.6281781599973</v>
      </c>
      <c r="AM306" s="219">
        <f t="shared" ref="AM306:AP311" si="229">IFERROR(AI306/AE306,"-")</f>
        <v>9.1464666545661752E-2</v>
      </c>
      <c r="AN306" s="214">
        <f t="shared" si="229"/>
        <v>7.3805251998042734E-2</v>
      </c>
      <c r="AO306" s="214">
        <f t="shared" si="229"/>
        <v>9.6498249128767963E-2</v>
      </c>
      <c r="AP306" s="214">
        <f t="shared" si="229"/>
        <v>7.90688545498862E-2</v>
      </c>
    </row>
    <row r="307" spans="1:42" ht="15" customHeight="1" x14ac:dyDescent="0.25">
      <c r="A307" s="15">
        <v>1601</v>
      </c>
      <c r="B307" s="56" t="s">
        <v>227</v>
      </c>
      <c r="C307" s="285">
        <v>5</v>
      </c>
      <c r="D307" s="286">
        <v>116410.18446601943</v>
      </c>
      <c r="E307" s="287">
        <v>96228</v>
      </c>
      <c r="F307" s="287">
        <v>-20182.184466019433</v>
      </c>
      <c r="G307" s="133">
        <f t="shared" si="222"/>
        <v>-0.20973297237830396</v>
      </c>
      <c r="H307" s="276">
        <v>138750.89272567944</v>
      </c>
      <c r="I307" s="275">
        <v>121156.35010447999</v>
      </c>
      <c r="J307" s="287">
        <v>-17594.542621199449</v>
      </c>
      <c r="K307" s="133">
        <f t="shared" si="223"/>
        <v>-0.1452217948628089</v>
      </c>
      <c r="N307" s="164" t="s">
        <v>227</v>
      </c>
      <c r="O307" s="288">
        <v>5</v>
      </c>
      <c r="P307" s="289">
        <v>102774.66633954858</v>
      </c>
      <c r="Q307" s="290">
        <v>89616</v>
      </c>
      <c r="R307" s="290">
        <v>-13158.666339548581</v>
      </c>
      <c r="S307" s="181">
        <v>-0.14683389505834429</v>
      </c>
      <c r="T307" s="291">
        <v>119734.98633954857</v>
      </c>
      <c r="U307" s="277">
        <v>112435.76944448</v>
      </c>
      <c r="V307" s="290">
        <v>-7299.2168950685736</v>
      </c>
      <c r="W307" s="182">
        <v>-6.4918992693627414E-2</v>
      </c>
      <c r="Z307" s="292" t="s">
        <v>227</v>
      </c>
      <c r="AA307" s="189">
        <f t="shared" si="224"/>
        <v>116410.18446601943</v>
      </c>
      <c r="AB307" s="189">
        <f t="shared" si="224"/>
        <v>96228</v>
      </c>
      <c r="AC307" s="189">
        <f t="shared" si="225"/>
        <v>138750.89272567944</v>
      </c>
      <c r="AD307" s="189">
        <f t="shared" si="225"/>
        <v>121156.35010447999</v>
      </c>
      <c r="AE307" s="189">
        <f t="shared" si="226"/>
        <v>102774.66633954858</v>
      </c>
      <c r="AF307" s="189">
        <f t="shared" si="226"/>
        <v>89616</v>
      </c>
      <c r="AG307" s="189">
        <f t="shared" si="227"/>
        <v>119734.98633954857</v>
      </c>
      <c r="AH307" s="189">
        <f t="shared" si="227"/>
        <v>112435.76944448</v>
      </c>
      <c r="AI307" s="206">
        <f t="shared" si="228"/>
        <v>13635.518126470852</v>
      </c>
      <c r="AJ307" s="206">
        <f t="shared" si="228"/>
        <v>6612</v>
      </c>
      <c r="AK307" s="189">
        <f t="shared" si="228"/>
        <v>19015.906386130868</v>
      </c>
      <c r="AL307" s="189">
        <f t="shared" si="228"/>
        <v>8720.5806599999923</v>
      </c>
      <c r="AM307" s="219">
        <f t="shared" si="229"/>
        <v>0.13267392259315744</v>
      </c>
      <c r="AN307" s="214">
        <f t="shared" si="229"/>
        <v>7.3781467595072314E-2</v>
      </c>
      <c r="AO307" s="214">
        <f t="shared" si="229"/>
        <v>0.15881662467647434</v>
      </c>
      <c r="AP307" s="214">
        <f t="shared" si="229"/>
        <v>7.7560554822423786E-2</v>
      </c>
    </row>
    <row r="308" spans="1:42" ht="15" customHeight="1" x14ac:dyDescent="0.25">
      <c r="A308" s="15">
        <v>1602</v>
      </c>
      <c r="B308" s="56" t="s">
        <v>228</v>
      </c>
      <c r="C308" s="285">
        <v>21</v>
      </c>
      <c r="D308" s="286">
        <v>58642.032902951229</v>
      </c>
      <c r="E308" s="287">
        <v>42540</v>
      </c>
      <c r="F308" s="287">
        <v>-16102.032902951229</v>
      </c>
      <c r="G308" s="133">
        <f t="shared" si="222"/>
        <v>-0.37851511290435425</v>
      </c>
      <c r="H308" s="276">
        <v>79185.181208569877</v>
      </c>
      <c r="I308" s="275">
        <v>60668.165746400002</v>
      </c>
      <c r="J308" s="287">
        <v>-18517.015462169875</v>
      </c>
      <c r="K308" s="133">
        <f t="shared" si="223"/>
        <v>-0.3052179876275336</v>
      </c>
      <c r="N308" s="164" t="s">
        <v>228</v>
      </c>
      <c r="O308" s="288">
        <v>16</v>
      </c>
      <c r="P308" s="289">
        <v>54641.192203885221</v>
      </c>
      <c r="Q308" s="290">
        <v>39612</v>
      </c>
      <c r="R308" s="290">
        <v>-15029.192203885221</v>
      </c>
      <c r="S308" s="181">
        <v>-0.37941008290127287</v>
      </c>
      <c r="T308" s="291">
        <v>74041.930690289053</v>
      </c>
      <c r="U308" s="277">
        <v>55890.132155359999</v>
      </c>
      <c r="V308" s="290">
        <v>-18151.798534929054</v>
      </c>
      <c r="W308" s="182">
        <v>-0.32477644684166762</v>
      </c>
      <c r="Z308" s="292" t="s">
        <v>228</v>
      </c>
      <c r="AA308" s="189">
        <f t="shared" si="224"/>
        <v>58642.032902951229</v>
      </c>
      <c r="AB308" s="189">
        <f t="shared" si="224"/>
        <v>42540</v>
      </c>
      <c r="AC308" s="189">
        <f t="shared" si="225"/>
        <v>79185.181208569877</v>
      </c>
      <c r="AD308" s="189">
        <f t="shared" si="225"/>
        <v>60668.165746400002</v>
      </c>
      <c r="AE308" s="189">
        <f t="shared" si="226"/>
        <v>54641.192203885221</v>
      </c>
      <c r="AF308" s="189">
        <f t="shared" si="226"/>
        <v>39612</v>
      </c>
      <c r="AG308" s="189">
        <f t="shared" si="227"/>
        <v>74041.930690289053</v>
      </c>
      <c r="AH308" s="189">
        <f t="shared" si="227"/>
        <v>55890.132155359999</v>
      </c>
      <c r="AI308" s="206">
        <f t="shared" si="228"/>
        <v>4000.8406990660078</v>
      </c>
      <c r="AJ308" s="206">
        <f t="shared" si="228"/>
        <v>2928</v>
      </c>
      <c r="AK308" s="189">
        <f t="shared" si="228"/>
        <v>5143.2505182808236</v>
      </c>
      <c r="AL308" s="189">
        <f t="shared" si="228"/>
        <v>4778.0335910400026</v>
      </c>
      <c r="AM308" s="219">
        <f t="shared" si="229"/>
        <v>7.322023070319339E-2</v>
      </c>
      <c r="AN308" s="214">
        <f t="shared" si="229"/>
        <v>7.3916994850045437E-2</v>
      </c>
      <c r="AO308" s="214">
        <f t="shared" si="229"/>
        <v>6.9464024915754735E-2</v>
      </c>
      <c r="AP308" s="214">
        <f t="shared" si="229"/>
        <v>8.5489752963158416E-2</v>
      </c>
    </row>
    <row r="309" spans="1:42" ht="15" customHeight="1" x14ac:dyDescent="0.25">
      <c r="A309" s="15">
        <v>1603</v>
      </c>
      <c r="B309" s="56" t="s">
        <v>757</v>
      </c>
      <c r="C309" s="285">
        <v>10</v>
      </c>
      <c r="D309" s="286">
        <v>105627.0675</v>
      </c>
      <c r="E309" s="287">
        <v>66432</v>
      </c>
      <c r="F309" s="287">
        <v>-39195.067500000005</v>
      </c>
      <c r="G309" s="133">
        <f t="shared" si="222"/>
        <v>-0.59000282243497115</v>
      </c>
      <c r="H309" s="276">
        <v>132212.22600711661</v>
      </c>
      <c r="I309" s="275">
        <v>87586.354181119998</v>
      </c>
      <c r="J309" s="287">
        <v>-44625.871825996612</v>
      </c>
      <c r="K309" s="133">
        <f t="shared" si="223"/>
        <v>-0.50950712863004533</v>
      </c>
      <c r="N309" s="164" t="s">
        <v>757</v>
      </c>
      <c r="O309" s="288">
        <v>10</v>
      </c>
      <c r="P309" s="289">
        <v>100600.42749999999</v>
      </c>
      <c r="Q309" s="290">
        <v>56088</v>
      </c>
      <c r="R309" s="290">
        <v>-44512.427499999991</v>
      </c>
      <c r="S309" s="181">
        <v>-0.79361766331479089</v>
      </c>
      <c r="T309" s="291">
        <v>123520.2284201318</v>
      </c>
      <c r="U309" s="277">
        <v>74521.560040640004</v>
      </c>
      <c r="V309" s="290">
        <v>-48998.668379491792</v>
      </c>
      <c r="W309" s="182">
        <v>-0.65750996560955766</v>
      </c>
      <c r="Z309" s="292" t="s">
        <v>757</v>
      </c>
      <c r="AA309" s="189">
        <f t="shared" si="224"/>
        <v>105627.0675</v>
      </c>
      <c r="AB309" s="189">
        <f t="shared" si="224"/>
        <v>66432</v>
      </c>
      <c r="AC309" s="189">
        <f t="shared" si="225"/>
        <v>132212.22600711661</v>
      </c>
      <c r="AD309" s="189">
        <f t="shared" si="225"/>
        <v>87586.354181119998</v>
      </c>
      <c r="AE309" s="189">
        <f t="shared" si="226"/>
        <v>100600.42749999999</v>
      </c>
      <c r="AF309" s="189">
        <f t="shared" si="226"/>
        <v>56088</v>
      </c>
      <c r="AG309" s="189">
        <f t="shared" si="227"/>
        <v>123520.2284201318</v>
      </c>
      <c r="AH309" s="189">
        <f t="shared" si="227"/>
        <v>74521.560040640004</v>
      </c>
      <c r="AI309" s="206">
        <f t="shared" si="228"/>
        <v>5026.640000000014</v>
      </c>
      <c r="AJ309" s="206">
        <f t="shared" si="228"/>
        <v>10344</v>
      </c>
      <c r="AK309" s="189">
        <f t="shared" si="228"/>
        <v>8691.9975869848131</v>
      </c>
      <c r="AL309" s="189">
        <f t="shared" si="228"/>
        <v>13064.794140479993</v>
      </c>
      <c r="AM309" s="219">
        <f t="shared" si="229"/>
        <v>4.9966388065299371E-2</v>
      </c>
      <c r="AN309" s="214">
        <f t="shared" si="229"/>
        <v>0.18442447582370561</v>
      </c>
      <c r="AO309" s="214">
        <f t="shared" si="229"/>
        <v>7.0369021318682723E-2</v>
      </c>
      <c r="AP309" s="214">
        <f t="shared" si="229"/>
        <v>0.17531562856917066</v>
      </c>
    </row>
    <row r="310" spans="1:42" ht="15" customHeight="1" x14ac:dyDescent="0.25">
      <c r="A310" s="15">
        <v>1604</v>
      </c>
      <c r="B310" s="56" t="s">
        <v>431</v>
      </c>
      <c r="C310" s="285">
        <v>18</v>
      </c>
      <c r="D310" s="286">
        <v>71142.824680769423</v>
      </c>
      <c r="E310" s="287">
        <v>62742</v>
      </c>
      <c r="F310" s="287">
        <v>-8400.8246807694231</v>
      </c>
      <c r="G310" s="133">
        <f t="shared" si="222"/>
        <v>-0.13389475440326135</v>
      </c>
      <c r="H310" s="276">
        <v>91729.263405084537</v>
      </c>
      <c r="I310" s="275">
        <v>83428.974500719996</v>
      </c>
      <c r="J310" s="287">
        <v>-8300.2889043645409</v>
      </c>
      <c r="K310" s="133">
        <f t="shared" si="223"/>
        <v>-9.9489283597665568E-2</v>
      </c>
      <c r="N310" s="164" t="s">
        <v>431</v>
      </c>
      <c r="O310" s="288">
        <v>17</v>
      </c>
      <c r="P310" s="289">
        <v>67724.776718480134</v>
      </c>
      <c r="Q310" s="290">
        <v>58428</v>
      </c>
      <c r="R310" s="290">
        <v>-9296.7767184801342</v>
      </c>
      <c r="S310" s="181">
        <v>-0.15911509410693733</v>
      </c>
      <c r="T310" s="291">
        <v>88029.853681904133</v>
      </c>
      <c r="U310" s="277">
        <v>77167.684175839997</v>
      </c>
      <c r="V310" s="290">
        <v>-10862.169506064136</v>
      </c>
      <c r="W310" s="182">
        <v>-0.14076059975199973</v>
      </c>
      <c r="Z310" s="292" t="s">
        <v>431</v>
      </c>
      <c r="AA310" s="189">
        <f t="shared" si="224"/>
        <v>71142.824680769423</v>
      </c>
      <c r="AB310" s="189">
        <f t="shared" si="224"/>
        <v>62742</v>
      </c>
      <c r="AC310" s="189">
        <f t="shared" si="225"/>
        <v>91729.263405084537</v>
      </c>
      <c r="AD310" s="189">
        <f t="shared" si="225"/>
        <v>83428.974500719996</v>
      </c>
      <c r="AE310" s="189">
        <f t="shared" si="226"/>
        <v>67724.776718480134</v>
      </c>
      <c r="AF310" s="189">
        <f t="shared" si="226"/>
        <v>58428</v>
      </c>
      <c r="AG310" s="189">
        <f t="shared" si="227"/>
        <v>88029.853681904133</v>
      </c>
      <c r="AH310" s="189">
        <f t="shared" si="227"/>
        <v>77167.684175839997</v>
      </c>
      <c r="AI310" s="206">
        <f t="shared" si="228"/>
        <v>3418.047962289289</v>
      </c>
      <c r="AJ310" s="206">
        <f t="shared" si="228"/>
        <v>4314</v>
      </c>
      <c r="AK310" s="189">
        <f t="shared" si="228"/>
        <v>3699.4097231804044</v>
      </c>
      <c r="AL310" s="189">
        <f t="shared" si="228"/>
        <v>6261.2903248799994</v>
      </c>
      <c r="AM310" s="219">
        <f t="shared" si="229"/>
        <v>5.0469682262630516E-2</v>
      </c>
      <c r="AN310" s="214">
        <f t="shared" si="229"/>
        <v>7.3834462928732802E-2</v>
      </c>
      <c r="AO310" s="214">
        <f t="shared" si="229"/>
        <v>4.2024490197930135E-2</v>
      </c>
      <c r="AP310" s="214">
        <f t="shared" si="229"/>
        <v>8.11387615392547E-2</v>
      </c>
    </row>
    <row r="311" spans="1:42" ht="15" customHeight="1" x14ac:dyDescent="0.25">
      <c r="A311" s="15">
        <v>1605</v>
      </c>
      <c r="B311" s="56" t="s">
        <v>229</v>
      </c>
      <c r="C311" s="285">
        <v>16</v>
      </c>
      <c r="D311" s="286">
        <v>71255</v>
      </c>
      <c r="E311" s="287">
        <v>67716</v>
      </c>
      <c r="F311" s="287">
        <v>-3539</v>
      </c>
      <c r="G311" s="133">
        <f t="shared" si="222"/>
        <v>-5.226238998168823E-2</v>
      </c>
      <c r="H311" s="276">
        <v>92675.175893740918</v>
      </c>
      <c r="I311" s="275">
        <v>89032.987110560003</v>
      </c>
      <c r="J311" s="287">
        <v>-3642.1887831809145</v>
      </c>
      <c r="K311" s="133">
        <f t="shared" si="223"/>
        <v>-4.0908307149776876E-2</v>
      </c>
      <c r="N311" s="164" t="s">
        <v>229</v>
      </c>
      <c r="O311" s="288">
        <v>14</v>
      </c>
      <c r="P311" s="289">
        <v>67114</v>
      </c>
      <c r="Q311" s="290">
        <v>63060</v>
      </c>
      <c r="R311" s="290">
        <v>-4054</v>
      </c>
      <c r="S311" s="181">
        <v>-6.4287979701871237E-2</v>
      </c>
      <c r="T311" s="291">
        <v>87099.738846831999</v>
      </c>
      <c r="U311" s="277">
        <v>82405.652976800004</v>
      </c>
      <c r="V311" s="290">
        <v>-4694.085870031995</v>
      </c>
      <c r="W311" s="182">
        <v>-5.696315362434589E-2</v>
      </c>
      <c r="Z311" s="292" t="s">
        <v>229</v>
      </c>
      <c r="AA311" s="189">
        <f t="shared" si="224"/>
        <v>71255</v>
      </c>
      <c r="AB311" s="189">
        <f t="shared" si="224"/>
        <v>67716</v>
      </c>
      <c r="AC311" s="189">
        <f t="shared" si="225"/>
        <v>92675.175893740918</v>
      </c>
      <c r="AD311" s="189">
        <f t="shared" si="225"/>
        <v>89032.987110560003</v>
      </c>
      <c r="AE311" s="189">
        <f t="shared" si="226"/>
        <v>67114</v>
      </c>
      <c r="AF311" s="189">
        <f t="shared" si="226"/>
        <v>63060</v>
      </c>
      <c r="AG311" s="189">
        <f t="shared" si="227"/>
        <v>87099.738846831999</v>
      </c>
      <c r="AH311" s="189">
        <f t="shared" si="227"/>
        <v>82405.652976800004</v>
      </c>
      <c r="AI311" s="206">
        <f t="shared" si="228"/>
        <v>4141</v>
      </c>
      <c r="AJ311" s="206">
        <f t="shared" si="228"/>
        <v>4656</v>
      </c>
      <c r="AK311" s="189">
        <f t="shared" si="228"/>
        <v>5575.437046908919</v>
      </c>
      <c r="AL311" s="189">
        <f t="shared" si="228"/>
        <v>6627.3341337599995</v>
      </c>
      <c r="AM311" s="219">
        <f t="shared" si="229"/>
        <v>6.1700986381380933E-2</v>
      </c>
      <c r="AN311" s="214">
        <f t="shared" si="229"/>
        <v>7.3834443387250231E-2</v>
      </c>
      <c r="AO311" s="214">
        <f t="shared" si="229"/>
        <v>6.4012098322286867E-2</v>
      </c>
      <c r="AP311" s="214">
        <f t="shared" si="229"/>
        <v>8.0423294936159531E-2</v>
      </c>
    </row>
    <row r="312" spans="1:42" ht="15" customHeight="1" x14ac:dyDescent="0.25">
      <c r="B312" s="62" t="s">
        <v>477</v>
      </c>
      <c r="C312" s="63"/>
      <c r="D312" s="124">
        <v>87412.375796953842</v>
      </c>
      <c r="E312" s="124">
        <v>69110</v>
      </c>
      <c r="F312" s="124">
        <v>-18302.375796953842</v>
      </c>
      <c r="G312" s="125">
        <f t="shared" si="222"/>
        <v>-0.26482963097892986</v>
      </c>
      <c r="H312" s="126">
        <v>110123.31365410496</v>
      </c>
      <c r="I312" s="127">
        <v>90603.552767600006</v>
      </c>
      <c r="J312" s="124">
        <v>-19519.760886504955</v>
      </c>
      <c r="K312" s="125">
        <f t="shared" si="223"/>
        <v>-0.21544145113794319</v>
      </c>
      <c r="N312" s="183" t="s">
        <v>477</v>
      </c>
      <c r="O312" s="184"/>
      <c r="P312" s="185">
        <v>80959.188993286865</v>
      </c>
      <c r="Q312" s="185">
        <v>63396</v>
      </c>
      <c r="R312" s="185">
        <v>-17563.188993286865</v>
      </c>
      <c r="S312" s="186">
        <v>-0.27703938723715793</v>
      </c>
      <c r="T312" s="201">
        <v>101251.44586893788</v>
      </c>
      <c r="U312" s="187">
        <v>82785.609262879996</v>
      </c>
      <c r="V312" s="185">
        <v>-18465.836606057885</v>
      </c>
      <c r="W312" s="188">
        <v>-0.22305611772960315</v>
      </c>
      <c r="Z312" s="209" t="s">
        <v>477</v>
      </c>
      <c r="AA312" s="212">
        <f t="shared" ref="AA312:AH312" si="230">AVERAGE(AA306:AA311)</f>
        <v>87412.375796953842</v>
      </c>
      <c r="AB312" s="212">
        <f t="shared" si="230"/>
        <v>69110</v>
      </c>
      <c r="AC312" s="212">
        <f t="shared" si="230"/>
        <v>110123.31365410496</v>
      </c>
      <c r="AD312" s="212">
        <f t="shared" si="230"/>
        <v>90603.552767600006</v>
      </c>
      <c r="AE312" s="212">
        <f t="shared" si="230"/>
        <v>80959.188993286865</v>
      </c>
      <c r="AF312" s="212">
        <f t="shared" si="230"/>
        <v>63396</v>
      </c>
      <c r="AG312" s="212">
        <f t="shared" si="230"/>
        <v>101251.44586893788</v>
      </c>
      <c r="AH312" s="212">
        <f t="shared" si="230"/>
        <v>82785.609262879996</v>
      </c>
      <c r="AI312" s="210">
        <f t="shared" si="228"/>
        <v>6453.1868036669766</v>
      </c>
      <c r="AJ312" s="210">
        <f t="shared" si="228"/>
        <v>5714</v>
      </c>
      <c r="AK312" s="204">
        <f t="shared" si="228"/>
        <v>8871.86778516708</v>
      </c>
      <c r="AL312" s="204">
        <f t="shared" si="228"/>
        <v>7817.9435047200095</v>
      </c>
      <c r="AM312" s="220">
        <f t="shared" ref="AM312:AP312" si="231">AI312/AE312</f>
        <v>7.9709133501844678E-2</v>
      </c>
      <c r="AN312" s="215">
        <f t="shared" si="231"/>
        <v>9.0131869518581612E-2</v>
      </c>
      <c r="AO312" s="215">
        <f t="shared" si="231"/>
        <v>8.7622134272048055E-2</v>
      </c>
      <c r="AP312" s="215">
        <f t="shared" si="231"/>
        <v>9.443602063608264E-2</v>
      </c>
    </row>
    <row r="313" spans="1:42" ht="15" customHeight="1" x14ac:dyDescent="0.25"/>
    <row r="314" spans="1:42" ht="15" customHeight="1" x14ac:dyDescent="0.25"/>
    <row r="315" spans="1:42" ht="15" customHeight="1" x14ac:dyDescent="0.25"/>
    <row r="316" spans="1:42" ht="15" customHeight="1" x14ac:dyDescent="0.25"/>
    <row r="317" spans="1:42" ht="15" customHeight="1" x14ac:dyDescent="0.25"/>
    <row r="318" spans="1:42" ht="15" customHeight="1" x14ac:dyDescent="0.25"/>
    <row r="319" spans="1:42" ht="15" customHeight="1" x14ac:dyDescent="0.25"/>
    <row r="320" spans="1:42"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sheetData>
  <mergeCells count="2">
    <mergeCell ref="AR1:AU1"/>
    <mergeCell ref="AW1:AZ1"/>
  </mergeCells>
  <conditionalFormatting sqref="L4:L312">
    <cfRule type="cellIs" dxfId="0" priority="1" operator="equal">
      <formula>1</formula>
    </cfRule>
  </conditionalFormatting>
  <pageMargins left="0.4" right="0.4" top="0.75" bottom="0.75" header="0.3" footer="0.3"/>
  <pageSetup orientation="landscape" horizontalDpi="1200" verticalDpi="1200" r:id="rId1"/>
  <rowBreaks count="1" manualBreakCount="1">
    <brk id="3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E81DD-6039-44E5-885B-1E0F3DF197A5}">
  <sheetPr codeName="Sheet33">
    <tabColor theme="6" tint="0.39997558519241921"/>
  </sheetPr>
  <dimension ref="A1:U51"/>
  <sheetViews>
    <sheetView showGridLines="0" zoomScale="55" zoomScaleNormal="55" zoomScaleSheetLayoutView="55" workbookViewId="0">
      <selection activeCell="M46" sqref="M46"/>
    </sheetView>
  </sheetViews>
  <sheetFormatPr defaultColWidth="9.28515625" defaultRowHeight="15" x14ac:dyDescent="0.25"/>
  <cols>
    <col min="1" max="1" width="1.5703125" customWidth="1"/>
    <col min="2" max="2" width="32.42578125" customWidth="1"/>
    <col min="3" max="10" width="15.7109375" customWidth="1"/>
    <col min="12" max="12" width="9.28515625" style="20"/>
    <col min="13" max="13" width="34.5703125" customWidth="1"/>
    <col min="14" max="18" width="11.85546875" customWidth="1"/>
    <col min="19" max="19" width="18.85546875" customWidth="1"/>
    <col min="20" max="20" width="15.7109375" customWidth="1"/>
  </cols>
  <sheetData>
    <row r="1" spans="1:21" ht="9" customHeight="1" x14ac:dyDescent="0.25"/>
    <row r="2" spans="1:21" ht="18" x14ac:dyDescent="0.25">
      <c r="B2" s="40" t="s">
        <v>796</v>
      </c>
      <c r="C2" s="32"/>
      <c r="D2" s="32"/>
      <c r="E2" s="32"/>
      <c r="F2" s="32"/>
      <c r="G2" s="32"/>
      <c r="H2" s="32"/>
      <c r="I2" s="32"/>
      <c r="J2" s="32"/>
      <c r="M2" s="40" t="s">
        <v>797</v>
      </c>
      <c r="N2" s="40"/>
      <c r="O2" s="40"/>
      <c r="P2" s="40"/>
      <c r="Q2" s="40"/>
      <c r="R2" s="40"/>
      <c r="S2" s="40"/>
      <c r="T2" s="42"/>
    </row>
    <row r="3" spans="1:21" ht="33.6" customHeight="1" thickBot="1" x14ac:dyDescent="0.3">
      <c r="B3" s="41" t="s">
        <v>798</v>
      </c>
      <c r="C3" s="33"/>
      <c r="D3" s="33"/>
      <c r="E3" s="33"/>
      <c r="F3" s="33"/>
      <c r="G3" s="33"/>
      <c r="H3" s="33"/>
      <c r="I3" s="33"/>
      <c r="J3" s="33"/>
      <c r="M3" s="346"/>
      <c r="N3" s="347" t="s">
        <v>475</v>
      </c>
      <c r="O3" s="347" t="s">
        <v>476</v>
      </c>
      <c r="P3" s="347" t="s">
        <v>477</v>
      </c>
      <c r="Q3" s="347" t="s">
        <v>478</v>
      </c>
      <c r="R3" s="347" t="s">
        <v>434</v>
      </c>
      <c r="S3" s="347" t="s">
        <v>799</v>
      </c>
    </row>
    <row r="4" spans="1:21" ht="30" customHeight="1" thickTop="1" thickBot="1" x14ac:dyDescent="0.3">
      <c r="B4" s="30" t="s">
        <v>19</v>
      </c>
      <c r="C4" s="548" t="s">
        <v>479</v>
      </c>
      <c r="D4" s="548"/>
      <c r="E4" s="548"/>
      <c r="F4" s="548"/>
      <c r="G4" s="548" t="s">
        <v>511</v>
      </c>
      <c r="H4" s="548"/>
      <c r="I4" s="548"/>
      <c r="J4" s="548"/>
      <c r="M4" s="349" t="s">
        <v>800</v>
      </c>
      <c r="N4" s="350">
        <v>2</v>
      </c>
      <c r="O4" s="350">
        <v>6.5</v>
      </c>
      <c r="P4" s="350">
        <v>7.2894736842105265</v>
      </c>
      <c r="Q4" s="350">
        <v>15</v>
      </c>
      <c r="R4" s="350">
        <v>12</v>
      </c>
      <c r="S4" s="351">
        <v>19</v>
      </c>
    </row>
    <row r="5" spans="1:21" ht="48" thickBot="1" x14ac:dyDescent="0.3">
      <c r="B5" s="311"/>
      <c r="C5" s="352" t="s">
        <v>512</v>
      </c>
      <c r="D5" s="352" t="s">
        <v>513</v>
      </c>
      <c r="E5" s="352" t="s">
        <v>514</v>
      </c>
      <c r="F5" s="352" t="s">
        <v>515</v>
      </c>
      <c r="G5" s="352" t="s">
        <v>512</v>
      </c>
      <c r="H5" s="352" t="s">
        <v>513</v>
      </c>
      <c r="I5" s="352" t="s">
        <v>514</v>
      </c>
      <c r="J5" s="352" t="s">
        <v>515</v>
      </c>
      <c r="M5" s="353" t="s">
        <v>801</v>
      </c>
      <c r="N5" s="354">
        <v>4</v>
      </c>
      <c r="O5" s="354">
        <v>7</v>
      </c>
      <c r="P5" s="354">
        <v>8.4473684210526319</v>
      </c>
      <c r="Q5" s="354">
        <v>15</v>
      </c>
      <c r="R5" s="354">
        <v>12</v>
      </c>
      <c r="S5" s="355">
        <v>19</v>
      </c>
    </row>
    <row r="6" spans="1:21" ht="30" customHeight="1" thickTop="1" thickBot="1" x14ac:dyDescent="0.3">
      <c r="A6" s="31" t="s">
        <v>46</v>
      </c>
      <c r="B6" s="356" t="s">
        <v>808</v>
      </c>
      <c r="C6" s="357">
        <v>18</v>
      </c>
      <c r="D6" s="357">
        <v>1</v>
      </c>
      <c r="E6" s="357">
        <v>3</v>
      </c>
      <c r="F6" s="357">
        <v>2</v>
      </c>
      <c r="G6" s="358">
        <v>0.5625</v>
      </c>
      <c r="H6" s="358">
        <v>3.125E-2</v>
      </c>
      <c r="I6" s="358">
        <v>9.375E-2</v>
      </c>
      <c r="J6" s="358">
        <v>6.25E-2</v>
      </c>
      <c r="L6" s="19"/>
      <c r="U6" s="310"/>
    </row>
    <row r="7" spans="1:21" ht="30" customHeight="1" thickBot="1" x14ac:dyDescent="0.3">
      <c r="A7" s="31" t="s">
        <v>18</v>
      </c>
      <c r="B7" s="359" t="s">
        <v>809</v>
      </c>
      <c r="C7" s="360">
        <v>4</v>
      </c>
      <c r="D7" s="360">
        <v>1</v>
      </c>
      <c r="E7" s="360">
        <v>2</v>
      </c>
      <c r="F7" s="360">
        <v>2</v>
      </c>
      <c r="G7" s="361">
        <v>0.26666666666666666</v>
      </c>
      <c r="H7" s="361">
        <v>6.6666666666666666E-2</v>
      </c>
      <c r="I7" s="361">
        <v>0.13333333333333333</v>
      </c>
      <c r="J7" s="361">
        <v>0.13333333333333333</v>
      </c>
      <c r="L7" s="19"/>
      <c r="M7" s="40" t="s">
        <v>802</v>
      </c>
      <c r="N7" s="40"/>
      <c r="O7" s="40"/>
      <c r="P7" s="40"/>
      <c r="Q7" s="40"/>
      <c r="R7" s="40"/>
      <c r="S7" s="40"/>
      <c r="T7" s="42"/>
    </row>
    <row r="8" spans="1:21" ht="30" customHeight="1" thickBot="1" x14ac:dyDescent="0.3">
      <c r="B8" s="362" t="s">
        <v>810</v>
      </c>
      <c r="C8" s="363">
        <v>22</v>
      </c>
      <c r="D8" s="363">
        <v>2</v>
      </c>
      <c r="E8" s="363">
        <v>5</v>
      </c>
      <c r="F8" s="363">
        <v>4</v>
      </c>
      <c r="G8" s="364">
        <v>0.46808510638297873</v>
      </c>
      <c r="H8" s="364">
        <v>4.2553191489361701E-2</v>
      </c>
      <c r="I8" s="364">
        <v>0.10638297872340426</v>
      </c>
      <c r="J8" s="364">
        <v>8.5106382978723402E-2</v>
      </c>
    </row>
    <row r="9" spans="1:21" ht="30" customHeight="1" thickTop="1" thickBot="1" x14ac:dyDescent="0.3">
      <c r="B9" s="365" t="s">
        <v>48</v>
      </c>
      <c r="C9" s="547" t="s">
        <v>803</v>
      </c>
      <c r="D9" s="547"/>
      <c r="E9" s="547"/>
      <c r="F9" s="547"/>
      <c r="G9" s="547"/>
      <c r="H9" s="547"/>
      <c r="I9" s="547"/>
      <c r="J9" s="547"/>
    </row>
    <row r="10" spans="1:21" ht="30" customHeight="1" thickTop="1" x14ac:dyDescent="0.25">
      <c r="C10" s="15"/>
      <c r="D10" s="15"/>
      <c r="E10" s="15"/>
      <c r="F10" s="15"/>
      <c r="G10" s="15"/>
      <c r="H10" s="15"/>
      <c r="I10" s="15"/>
      <c r="J10" s="15"/>
    </row>
    <row r="11" spans="1:21" ht="18" customHeight="1" x14ac:dyDescent="0.25">
      <c r="B11" s="40" t="s">
        <v>796</v>
      </c>
      <c r="C11" s="32"/>
      <c r="D11" s="32"/>
      <c r="E11" s="32"/>
      <c r="F11" s="32"/>
      <c r="G11" s="32"/>
      <c r="H11" s="32"/>
      <c r="I11" s="32"/>
      <c r="J11" s="32"/>
    </row>
    <row r="12" spans="1:21" ht="30" customHeight="1" thickBot="1" x14ac:dyDescent="0.3">
      <c r="B12" s="41" t="s">
        <v>804</v>
      </c>
      <c r="C12" s="33"/>
      <c r="D12" s="33"/>
      <c r="E12" s="33"/>
      <c r="F12" s="33"/>
      <c r="G12" s="33"/>
      <c r="H12" s="33"/>
      <c r="I12" s="33"/>
      <c r="J12" s="33"/>
    </row>
    <row r="13" spans="1:21" ht="30" customHeight="1" thickTop="1" thickBot="1" x14ac:dyDescent="0.3">
      <c r="B13" s="30" t="s">
        <v>19</v>
      </c>
      <c r="C13" s="548" t="s">
        <v>479</v>
      </c>
      <c r="D13" s="548"/>
      <c r="E13" s="548"/>
      <c r="F13" s="548"/>
      <c r="G13" s="548" t="s">
        <v>511</v>
      </c>
      <c r="H13" s="548"/>
      <c r="I13" s="548"/>
      <c r="J13" s="548"/>
    </row>
    <row r="14" spans="1:21" ht="47.25" x14ac:dyDescent="0.25">
      <c r="B14" s="311"/>
      <c r="C14" s="352" t="s">
        <v>512</v>
      </c>
      <c r="D14" s="352" t="s">
        <v>513</v>
      </c>
      <c r="E14" s="352" t="s">
        <v>514</v>
      </c>
      <c r="F14" s="352" t="s">
        <v>515</v>
      </c>
      <c r="G14" s="352" t="s">
        <v>512</v>
      </c>
      <c r="H14" s="352" t="s">
        <v>513</v>
      </c>
      <c r="I14" s="352" t="s">
        <v>514</v>
      </c>
      <c r="J14" s="352" t="s">
        <v>515</v>
      </c>
    </row>
    <row r="15" spans="1:21" ht="30" customHeight="1" thickBot="1" x14ac:dyDescent="0.3">
      <c r="A15" s="31" t="s">
        <v>46</v>
      </c>
      <c r="B15" s="356" t="s">
        <v>808</v>
      </c>
      <c r="C15" s="357">
        <v>15</v>
      </c>
      <c r="D15" s="357">
        <v>2</v>
      </c>
      <c r="E15" s="357">
        <v>8</v>
      </c>
      <c r="F15" s="357">
        <v>3</v>
      </c>
      <c r="G15" s="358">
        <v>0.46875</v>
      </c>
      <c r="H15" s="358">
        <v>6.25E-2</v>
      </c>
      <c r="I15" s="358">
        <v>0.25</v>
      </c>
      <c r="J15" s="358">
        <v>9.375E-2</v>
      </c>
    </row>
    <row r="16" spans="1:21" ht="30" customHeight="1" thickBot="1" x14ac:dyDescent="0.3">
      <c r="A16" s="31" t="s">
        <v>18</v>
      </c>
      <c r="B16" s="366" t="s">
        <v>809</v>
      </c>
      <c r="C16" s="367">
        <v>4</v>
      </c>
      <c r="D16" s="367">
        <v>3</v>
      </c>
      <c r="E16" s="367">
        <v>3</v>
      </c>
      <c r="F16" s="367">
        <v>3</v>
      </c>
      <c r="G16" s="368">
        <v>0.26666666666666666</v>
      </c>
      <c r="H16" s="368">
        <v>0.2</v>
      </c>
      <c r="I16" s="368">
        <v>0.2</v>
      </c>
      <c r="J16" s="368">
        <v>0.2</v>
      </c>
    </row>
    <row r="17" spans="2:21" ht="30" customHeight="1" thickBot="1" x14ac:dyDescent="0.3">
      <c r="B17" s="362" t="s">
        <v>810</v>
      </c>
      <c r="C17" s="363">
        <v>19</v>
      </c>
      <c r="D17" s="363">
        <v>5</v>
      </c>
      <c r="E17" s="363">
        <v>11</v>
      </c>
      <c r="F17" s="363">
        <v>6</v>
      </c>
      <c r="G17" s="364">
        <v>0.40425531914893614</v>
      </c>
      <c r="H17" s="364">
        <v>0.10638297872340426</v>
      </c>
      <c r="I17" s="364">
        <v>0.23404255319148937</v>
      </c>
      <c r="J17" s="364">
        <v>0.1276595744680851</v>
      </c>
    </row>
    <row r="18" spans="2:21" ht="30" customHeight="1" thickTop="1" thickBot="1" x14ac:dyDescent="0.3">
      <c r="B18" s="365" t="s">
        <v>48</v>
      </c>
      <c r="C18" s="547" t="s">
        <v>517</v>
      </c>
      <c r="D18" s="547"/>
      <c r="E18" s="547"/>
      <c r="F18" s="547"/>
      <c r="G18" s="547"/>
      <c r="H18" s="547"/>
      <c r="I18" s="547"/>
      <c r="J18" s="547"/>
    </row>
    <row r="19" spans="2:21" ht="15.75" thickTop="1" x14ac:dyDescent="0.25">
      <c r="C19" s="15"/>
      <c r="D19" s="15"/>
      <c r="E19" s="15"/>
      <c r="F19" s="15"/>
      <c r="G19" s="15"/>
      <c r="H19" s="15"/>
      <c r="I19" s="15"/>
      <c r="J19" s="15"/>
    </row>
    <row r="20" spans="2:21" ht="18" customHeight="1" x14ac:dyDescent="0.25">
      <c r="B20" s="39" t="s">
        <v>805</v>
      </c>
      <c r="C20" s="34"/>
      <c r="D20" s="34"/>
      <c r="E20" s="34"/>
      <c r="F20" s="34"/>
      <c r="G20" s="34"/>
      <c r="H20" s="34"/>
      <c r="I20" s="34"/>
      <c r="J20" s="34"/>
      <c r="L20" s="29"/>
      <c r="M20" s="29"/>
      <c r="N20" s="29"/>
      <c r="O20" s="29"/>
      <c r="P20" s="29"/>
      <c r="Q20" s="29"/>
      <c r="R20" s="29"/>
      <c r="S20" s="29"/>
      <c r="T20" s="29"/>
      <c r="U20" s="29"/>
    </row>
    <row r="21" spans="2:21" ht="18" customHeight="1" x14ac:dyDescent="0.25">
      <c r="B21" s="39" t="s">
        <v>806</v>
      </c>
      <c r="C21" s="34"/>
      <c r="D21" s="34"/>
      <c r="E21" s="34"/>
      <c r="F21" s="34"/>
      <c r="G21" s="34"/>
      <c r="H21" s="34"/>
      <c r="I21" s="34"/>
      <c r="J21" s="34"/>
      <c r="L21" s="29"/>
      <c r="M21" s="29"/>
      <c r="N21" s="29"/>
      <c r="O21" s="29"/>
      <c r="P21" s="29"/>
      <c r="Q21" s="29"/>
      <c r="R21" s="29"/>
      <c r="S21" s="29"/>
      <c r="T21" s="29"/>
      <c r="U21" s="29"/>
    </row>
    <row r="22" spans="2:21" ht="15" customHeight="1" x14ac:dyDescent="0.25">
      <c r="L22" s="29"/>
      <c r="M22" s="29"/>
      <c r="N22" s="29"/>
      <c r="O22" s="29"/>
      <c r="P22" s="29"/>
      <c r="Q22" s="29"/>
      <c r="R22" s="29"/>
      <c r="S22" s="29"/>
      <c r="T22" s="29"/>
      <c r="U22" s="29"/>
    </row>
    <row r="23" spans="2:21" ht="15" customHeight="1" x14ac:dyDescent="0.25">
      <c r="L23" s="29"/>
      <c r="M23" s="29"/>
      <c r="N23" s="29"/>
      <c r="O23" s="29"/>
      <c r="P23" s="29"/>
      <c r="Q23" s="29"/>
      <c r="R23" s="29"/>
      <c r="S23" s="29"/>
      <c r="T23" s="29"/>
      <c r="U23" s="29"/>
    </row>
    <row r="24" spans="2:21" ht="15" customHeight="1" x14ac:dyDescent="0.25">
      <c r="L24" s="29"/>
      <c r="M24" s="29"/>
      <c r="N24" s="29"/>
      <c r="O24" s="29"/>
      <c r="P24" s="29"/>
      <c r="Q24" s="29"/>
      <c r="R24" s="29"/>
      <c r="S24" s="29"/>
      <c r="T24" s="29"/>
      <c r="U24" s="29"/>
    </row>
    <row r="25" spans="2:21" ht="15" customHeight="1" x14ac:dyDescent="0.25">
      <c r="L25" s="29"/>
      <c r="M25" s="29"/>
      <c r="N25" s="29"/>
      <c r="O25" s="29"/>
      <c r="P25" s="29"/>
      <c r="Q25" s="29"/>
      <c r="R25" s="29"/>
      <c r="S25" s="29"/>
      <c r="T25" s="29"/>
      <c r="U25" s="29"/>
    </row>
    <row r="26" spans="2:21" ht="15" customHeight="1" x14ac:dyDescent="0.25">
      <c r="L26" s="29"/>
      <c r="M26" s="29"/>
      <c r="N26" s="29"/>
      <c r="O26" s="29"/>
      <c r="P26" s="29"/>
      <c r="Q26" s="29"/>
      <c r="R26" s="29"/>
      <c r="S26" s="29"/>
      <c r="T26" s="29"/>
      <c r="U26" s="29"/>
    </row>
    <row r="27" spans="2:21" ht="15" customHeight="1" x14ac:dyDescent="0.25">
      <c r="L27" s="29"/>
      <c r="M27" s="29"/>
      <c r="N27" s="29"/>
      <c r="O27" s="29"/>
      <c r="P27" s="29"/>
      <c r="Q27" s="29"/>
      <c r="R27" s="29"/>
      <c r="S27" s="29"/>
      <c r="T27" s="29"/>
      <c r="U27" s="29"/>
    </row>
    <row r="28" spans="2:21" ht="15" customHeight="1" x14ac:dyDescent="0.25">
      <c r="L28" s="29"/>
      <c r="M28" s="29"/>
      <c r="N28" s="29"/>
      <c r="O28" s="29"/>
      <c r="P28" s="29"/>
      <c r="Q28" s="29"/>
      <c r="R28" s="29"/>
      <c r="S28" s="29"/>
      <c r="T28" s="29"/>
      <c r="U28" s="29"/>
    </row>
    <row r="29" spans="2:21" ht="15" customHeight="1" x14ac:dyDescent="0.25">
      <c r="L29" s="29"/>
      <c r="M29" s="29"/>
      <c r="N29" s="29"/>
      <c r="O29" s="29"/>
      <c r="P29" s="29"/>
      <c r="Q29" s="29"/>
      <c r="R29" s="29"/>
      <c r="S29" s="29"/>
      <c r="T29" s="29"/>
      <c r="U29" s="29"/>
    </row>
    <row r="30" spans="2:21" ht="15" customHeight="1" x14ac:dyDescent="0.25">
      <c r="L30" s="29"/>
      <c r="M30" s="29"/>
      <c r="N30" s="29"/>
      <c r="O30" s="29"/>
      <c r="P30" s="29"/>
      <c r="Q30" s="29"/>
      <c r="R30" s="29"/>
      <c r="S30" s="29"/>
      <c r="T30" s="29"/>
      <c r="U30" s="29"/>
    </row>
    <row r="31" spans="2:21" ht="15" customHeight="1" x14ac:dyDescent="0.25">
      <c r="L31" s="29"/>
      <c r="M31" s="29"/>
      <c r="N31" s="29"/>
      <c r="O31" s="29"/>
      <c r="P31" s="29"/>
      <c r="Q31" s="29"/>
      <c r="R31" s="29"/>
      <c r="S31" s="29"/>
      <c r="T31" s="29"/>
      <c r="U31" s="29"/>
    </row>
    <row r="32" spans="2:21" ht="15" customHeight="1" x14ac:dyDescent="0.25">
      <c r="L32" s="29"/>
      <c r="M32" s="29"/>
      <c r="N32" s="29"/>
      <c r="O32" s="29"/>
      <c r="P32" s="29"/>
      <c r="Q32" s="29"/>
      <c r="R32" s="29"/>
      <c r="S32" s="29"/>
      <c r="T32" s="29"/>
      <c r="U32" s="29"/>
    </row>
    <row r="33" spans="1:21" ht="15" customHeight="1" x14ac:dyDescent="0.25">
      <c r="L33" s="29"/>
      <c r="M33" s="29"/>
      <c r="N33" s="29"/>
      <c r="O33" s="29"/>
      <c r="P33" s="29"/>
      <c r="Q33" s="29"/>
      <c r="R33" s="29"/>
      <c r="S33" s="29"/>
      <c r="T33" s="29"/>
      <c r="U33" s="29"/>
    </row>
    <row r="34" spans="1:21" ht="15" customHeight="1" x14ac:dyDescent="0.25">
      <c r="L34" s="29"/>
      <c r="M34" s="29"/>
      <c r="N34" s="29"/>
      <c r="O34" s="29"/>
      <c r="P34" s="29"/>
      <c r="Q34" s="29"/>
      <c r="R34" s="29"/>
      <c r="S34" s="29"/>
      <c r="T34" s="29"/>
      <c r="U34" s="29"/>
    </row>
    <row r="35" spans="1:21" ht="15" customHeight="1" x14ac:dyDescent="0.25">
      <c r="L35" s="29"/>
      <c r="M35" s="29"/>
      <c r="N35" s="29"/>
      <c r="O35" s="29"/>
      <c r="P35" s="29"/>
      <c r="Q35" s="29"/>
      <c r="R35" s="29"/>
      <c r="S35" s="29"/>
      <c r="T35" s="29"/>
      <c r="U35" s="29"/>
    </row>
    <row r="36" spans="1:21" ht="15" customHeight="1" x14ac:dyDescent="0.25">
      <c r="L36" s="29"/>
      <c r="M36" s="29"/>
      <c r="N36" s="29"/>
      <c r="O36" s="29"/>
      <c r="P36" s="29"/>
      <c r="Q36" s="29"/>
      <c r="R36" s="29"/>
      <c r="S36" s="29"/>
      <c r="T36" s="29"/>
      <c r="U36" s="29"/>
    </row>
    <row r="37" spans="1:21" ht="15" customHeight="1" x14ac:dyDescent="0.25">
      <c r="L37" s="29"/>
      <c r="M37" s="29"/>
      <c r="N37" s="29"/>
      <c r="O37" s="29"/>
      <c r="P37" s="29"/>
      <c r="Q37" s="29"/>
      <c r="R37" s="29"/>
      <c r="S37" s="29"/>
      <c r="T37" s="29"/>
      <c r="U37" s="29"/>
    </row>
    <row r="38" spans="1:21" ht="15" customHeight="1" x14ac:dyDescent="0.25">
      <c r="L38" s="29"/>
      <c r="M38" s="29"/>
      <c r="N38" s="29"/>
      <c r="O38" s="29"/>
      <c r="P38" s="29"/>
      <c r="Q38" s="29"/>
      <c r="R38" s="29"/>
      <c r="S38" s="29"/>
      <c r="T38" s="29"/>
      <c r="U38" s="29"/>
    </row>
    <row r="39" spans="1:21" ht="15" customHeight="1" x14ac:dyDescent="0.25">
      <c r="L39" s="29"/>
      <c r="M39" s="29"/>
      <c r="N39" s="29"/>
      <c r="O39" s="29"/>
      <c r="P39" s="29"/>
      <c r="Q39" s="29"/>
      <c r="R39" s="29"/>
      <c r="S39" s="29"/>
      <c r="T39" s="29"/>
      <c r="U39" s="29"/>
    </row>
    <row r="40" spans="1:21" ht="15" customHeight="1" x14ac:dyDescent="0.25">
      <c r="L40" s="29"/>
      <c r="M40" s="29"/>
      <c r="N40" s="29"/>
      <c r="O40" s="29"/>
      <c r="P40" s="29"/>
      <c r="Q40" s="29"/>
      <c r="R40" s="29"/>
      <c r="S40" s="29"/>
      <c r="T40" s="29"/>
      <c r="U40" s="29"/>
    </row>
    <row r="41" spans="1:21" ht="15" customHeight="1" x14ac:dyDescent="0.25">
      <c r="L41" s="29"/>
      <c r="M41" s="29"/>
      <c r="N41" s="29"/>
      <c r="O41" s="29"/>
      <c r="P41" s="29"/>
      <c r="Q41" s="29"/>
      <c r="R41" s="29"/>
      <c r="S41" s="29"/>
      <c r="T41" s="29"/>
      <c r="U41" s="29"/>
    </row>
    <row r="42" spans="1:21" ht="15" customHeight="1" x14ac:dyDescent="0.25">
      <c r="L42" s="29"/>
      <c r="M42" s="29"/>
      <c r="N42" s="29"/>
      <c r="O42" s="29"/>
      <c r="P42" s="29"/>
      <c r="Q42" s="29"/>
      <c r="R42" s="29"/>
      <c r="S42" s="29"/>
      <c r="T42" s="29"/>
      <c r="U42" s="29"/>
    </row>
    <row r="43" spans="1:21" ht="15" customHeight="1" x14ac:dyDescent="0.25">
      <c r="L43" s="29"/>
      <c r="M43" s="29"/>
      <c r="N43" s="29"/>
      <c r="O43" s="29"/>
      <c r="P43" s="29"/>
      <c r="Q43" s="29"/>
      <c r="R43" s="29"/>
      <c r="S43" s="29"/>
      <c r="T43" s="29"/>
      <c r="U43" s="29"/>
    </row>
    <row r="44" spans="1:21" ht="15" customHeight="1" x14ac:dyDescent="0.25">
      <c r="L44" s="29"/>
      <c r="M44" s="29"/>
      <c r="N44" s="29"/>
      <c r="O44" s="29"/>
      <c r="P44" s="29"/>
      <c r="Q44" s="29"/>
      <c r="R44" s="29"/>
      <c r="S44" s="29"/>
      <c r="T44" s="29"/>
      <c r="U44" s="29"/>
    </row>
    <row r="45" spans="1:21" ht="15" customHeight="1" x14ac:dyDescent="0.25">
      <c r="L45" s="29"/>
      <c r="M45" s="29"/>
      <c r="N45" s="29"/>
      <c r="O45" s="29"/>
      <c r="P45" s="29"/>
      <c r="Q45" s="29"/>
      <c r="R45" s="29"/>
      <c r="S45" s="29"/>
      <c r="T45" s="29"/>
      <c r="U45" s="29"/>
    </row>
    <row r="46" spans="1:21" ht="15" customHeight="1" x14ac:dyDescent="0.25">
      <c r="L46" s="29"/>
      <c r="M46" s="29"/>
      <c r="N46" s="29"/>
      <c r="O46" s="29"/>
      <c r="P46" s="29"/>
      <c r="Q46" s="29"/>
      <c r="R46" s="29"/>
      <c r="S46" s="29"/>
      <c r="T46" s="29"/>
      <c r="U46" s="29"/>
    </row>
    <row r="47" spans="1:21" ht="15" customHeight="1" x14ac:dyDescent="0.25">
      <c r="L47" s="29"/>
      <c r="M47" s="29"/>
      <c r="N47" s="29"/>
      <c r="O47" s="29"/>
      <c r="P47" s="29"/>
      <c r="Q47" s="29"/>
      <c r="R47" s="29"/>
      <c r="S47" s="29"/>
      <c r="T47" s="29"/>
      <c r="U47" s="29"/>
    </row>
    <row r="48" spans="1:21" x14ac:dyDescent="0.25">
      <c r="A48" s="86"/>
      <c r="B48" s="35"/>
      <c r="C48" s="36" t="s">
        <v>512</v>
      </c>
      <c r="D48" s="36" t="s">
        <v>513</v>
      </c>
      <c r="E48" s="36" t="s">
        <v>514</v>
      </c>
      <c r="F48" s="36" t="s">
        <v>515</v>
      </c>
      <c r="G48" s="86"/>
    </row>
    <row r="49" spans="1:7" x14ac:dyDescent="0.25">
      <c r="A49" s="86"/>
      <c r="B49" s="37" t="s">
        <v>807</v>
      </c>
      <c r="C49" s="38">
        <v>0.46808510638297873</v>
      </c>
      <c r="D49" s="38">
        <v>4.2553191489361701E-2</v>
      </c>
      <c r="E49" s="38">
        <v>0.10638297872340426</v>
      </c>
      <c r="F49" s="38">
        <v>8.5106382978723402E-2</v>
      </c>
      <c r="G49" s="86"/>
    </row>
    <row r="50" spans="1:7" x14ac:dyDescent="0.25">
      <c r="A50" s="86"/>
      <c r="B50" s="37" t="s">
        <v>595</v>
      </c>
      <c r="C50" s="38">
        <v>0.40425531914893614</v>
      </c>
      <c r="D50" s="38">
        <v>0.10638297872340426</v>
      </c>
      <c r="E50" s="38">
        <v>0.23404255319148937</v>
      </c>
      <c r="F50" s="38">
        <v>0.1276595744680851</v>
      </c>
      <c r="G50" s="86"/>
    </row>
    <row r="51" spans="1:7" x14ac:dyDescent="0.25">
      <c r="A51" s="86"/>
      <c r="B51" s="86"/>
      <c r="C51" s="86"/>
      <c r="D51" s="86"/>
      <c r="E51" s="86"/>
      <c r="F51" s="86"/>
      <c r="G51" s="86"/>
    </row>
  </sheetData>
  <mergeCells count="6">
    <mergeCell ref="C18:J18"/>
    <mergeCell ref="C4:F4"/>
    <mergeCell ref="G4:J4"/>
    <mergeCell ref="C9:J9"/>
    <mergeCell ref="C13:F13"/>
    <mergeCell ref="G13:J13"/>
  </mergeCells>
  <printOptions horizontalCentered="1" verticalCentered="1"/>
  <pageMargins left="0.7" right="0.7" top="0.75" bottom="0.75" header="0.3" footer="0.3"/>
  <pageSetup scale="78" orientation="landscape" verticalDpi="1200" r:id="rId1"/>
  <rowBreaks count="1" manualBreakCount="1">
    <brk id="19" max="16383" man="1"/>
  </rowBreaks>
  <colBreaks count="1" manualBreakCount="1">
    <brk id="11"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6133-ADCB-428E-8F01-664A77391AE1}">
  <sheetPr codeName="Sheet34">
    <tabColor theme="6" tint="0.39997558519241921"/>
  </sheetPr>
  <dimension ref="A1:AF49"/>
  <sheetViews>
    <sheetView showGridLines="0" topLeftCell="A10" zoomScale="40" zoomScaleNormal="40" zoomScaleSheetLayoutView="70" workbookViewId="0"/>
  </sheetViews>
  <sheetFormatPr defaultColWidth="9.28515625" defaultRowHeight="15" x14ac:dyDescent="0.25"/>
  <cols>
    <col min="2" max="2" width="27.5703125" bestFit="1" customWidth="1"/>
    <col min="3" max="3" width="12" customWidth="1"/>
    <col min="4" max="4" width="10.28515625" customWidth="1"/>
    <col min="5" max="5" width="10" customWidth="1"/>
    <col min="6" max="6" width="11" customWidth="1"/>
    <col min="7" max="7" width="9.28515625" customWidth="1"/>
    <col min="8" max="8" width="12" customWidth="1"/>
    <col min="9" max="9" width="10.28515625" customWidth="1"/>
    <col min="10" max="10" width="11.5703125" customWidth="1"/>
    <col min="11" max="11" width="11.28515625" customWidth="1"/>
    <col min="14" max="14" width="9.7109375" bestFit="1" customWidth="1"/>
    <col min="15" max="15" width="9.7109375" customWidth="1"/>
    <col min="16" max="16" width="32.28515625" customWidth="1"/>
    <col min="17" max="22" width="15.5703125" customWidth="1"/>
    <col min="24" max="24" width="9.7109375" bestFit="1" customWidth="1"/>
    <col min="25" max="25" width="9.7109375" customWidth="1"/>
    <col min="26" max="26" width="30.140625" customWidth="1"/>
    <col min="27" max="32" width="15.5703125" customWidth="1"/>
  </cols>
  <sheetData>
    <row r="1" spans="1:32" x14ac:dyDescent="0.25">
      <c r="Q1" s="49" t="s">
        <v>600</v>
      </c>
      <c r="R1" s="49" t="s">
        <v>601</v>
      </c>
      <c r="S1" s="49" t="s">
        <v>602</v>
      </c>
      <c r="T1" s="49" t="s">
        <v>603</v>
      </c>
      <c r="U1" s="49" t="s">
        <v>604</v>
      </c>
      <c r="V1" s="49" t="s">
        <v>515</v>
      </c>
      <c r="AA1" s="49" t="s">
        <v>600</v>
      </c>
      <c r="AB1" s="49" t="s">
        <v>601</v>
      </c>
      <c r="AC1" s="49" t="s">
        <v>602</v>
      </c>
      <c r="AD1" s="49" t="s">
        <v>603</v>
      </c>
      <c r="AE1" s="49" t="s">
        <v>604</v>
      </c>
      <c r="AF1" s="49" t="s">
        <v>515</v>
      </c>
    </row>
    <row r="2" spans="1:32" ht="18" x14ac:dyDescent="0.25">
      <c r="B2" s="39" t="s">
        <v>811</v>
      </c>
      <c r="C2" s="39"/>
      <c r="D2" s="39"/>
      <c r="E2" s="39"/>
      <c r="F2" s="39"/>
      <c r="G2" s="39"/>
      <c r="H2" s="39"/>
      <c r="I2" s="39"/>
      <c r="J2" s="39"/>
      <c r="K2" s="39"/>
      <c r="L2" s="39"/>
      <c r="N2" s="18"/>
      <c r="O2" s="40" t="s">
        <v>812</v>
      </c>
      <c r="P2" s="40"/>
      <c r="Q2" s="40"/>
      <c r="R2" s="40"/>
      <c r="S2" s="40"/>
      <c r="T2" s="40"/>
      <c r="U2" s="40"/>
      <c r="V2" s="40"/>
      <c r="X2" s="18"/>
      <c r="Y2" s="40" t="s">
        <v>812</v>
      </c>
      <c r="Z2" s="40"/>
      <c r="AA2" s="40"/>
      <c r="AB2" s="40"/>
      <c r="AC2" s="40"/>
      <c r="AD2" s="40"/>
      <c r="AE2" s="40"/>
      <c r="AF2" s="40"/>
    </row>
    <row r="3" spans="1:32" ht="18.75" thickBot="1" x14ac:dyDescent="0.3">
      <c r="B3" s="39" t="s">
        <v>813</v>
      </c>
      <c r="C3" s="39"/>
      <c r="D3" s="39"/>
      <c r="E3" s="39"/>
      <c r="F3" s="39"/>
      <c r="G3" s="39"/>
      <c r="H3" s="39"/>
      <c r="I3" s="39"/>
      <c r="J3" s="39"/>
      <c r="K3" s="39"/>
      <c r="L3" s="39"/>
      <c r="N3" s="21"/>
      <c r="O3" s="369" t="s">
        <v>800</v>
      </c>
      <c r="P3" s="369"/>
      <c r="Q3" s="369"/>
      <c r="R3" s="369"/>
      <c r="S3" s="369"/>
      <c r="T3" s="369"/>
      <c r="U3" s="369"/>
      <c r="V3" s="369"/>
      <c r="X3" s="21"/>
      <c r="Y3" s="369" t="s">
        <v>516</v>
      </c>
      <c r="Z3" s="369"/>
      <c r="AA3" s="369"/>
      <c r="AB3" s="369"/>
      <c r="AC3" s="369"/>
      <c r="AD3" s="369"/>
      <c r="AE3" s="369"/>
      <c r="AF3" s="369"/>
    </row>
    <row r="4" spans="1:32" ht="51" customHeight="1" thickBot="1" x14ac:dyDescent="0.3">
      <c r="B4" s="370" t="s">
        <v>814</v>
      </c>
      <c r="C4" s="370"/>
      <c r="D4" s="370"/>
      <c r="E4" s="370"/>
      <c r="F4" s="370"/>
      <c r="G4" s="370"/>
      <c r="H4" s="370"/>
      <c r="I4" s="370"/>
      <c r="J4" s="370"/>
      <c r="K4" s="370"/>
      <c r="L4" s="370"/>
      <c r="N4" s="22"/>
      <c r="O4" s="17"/>
      <c r="Q4" s="22" t="s">
        <v>518</v>
      </c>
      <c r="R4" s="22" t="s">
        <v>815</v>
      </c>
      <c r="S4" s="22" t="s">
        <v>816</v>
      </c>
      <c r="T4" s="22" t="s">
        <v>817</v>
      </c>
      <c r="U4" s="22" t="s">
        <v>818</v>
      </c>
      <c r="V4" s="22" t="s">
        <v>515</v>
      </c>
      <c r="X4" s="22"/>
      <c r="Y4" s="17"/>
      <c r="AA4" s="22" t="s">
        <v>518</v>
      </c>
      <c r="AB4" s="22" t="s">
        <v>815</v>
      </c>
      <c r="AC4" s="22" t="s">
        <v>816</v>
      </c>
      <c r="AD4" s="22" t="s">
        <v>817</v>
      </c>
      <c r="AE4" s="22" t="s">
        <v>818</v>
      </c>
      <c r="AF4" s="22" t="s">
        <v>515</v>
      </c>
    </row>
    <row r="5" spans="1:32" ht="33" thickTop="1" thickBot="1" x14ac:dyDescent="0.3">
      <c r="B5" s="23"/>
      <c r="C5" s="46" t="s">
        <v>819</v>
      </c>
      <c r="D5" s="46"/>
      <c r="E5" s="46"/>
      <c r="F5" s="46"/>
      <c r="G5" s="46"/>
      <c r="H5" s="371" t="s">
        <v>820</v>
      </c>
      <c r="I5" s="46"/>
      <c r="J5" s="46"/>
      <c r="K5" s="46"/>
      <c r="L5" s="47"/>
      <c r="N5" s="31" t="s">
        <v>46</v>
      </c>
      <c r="O5" s="550" t="s">
        <v>821</v>
      </c>
      <c r="P5" s="372" t="s">
        <v>808</v>
      </c>
      <c r="Q5" s="373">
        <v>0.625</v>
      </c>
      <c r="R5" s="373">
        <v>3.125E-2</v>
      </c>
      <c r="S5" s="373">
        <v>0.125</v>
      </c>
      <c r="T5" s="373">
        <v>0.25</v>
      </c>
      <c r="U5" s="373">
        <v>0.15625</v>
      </c>
      <c r="V5" s="373">
        <v>3.125E-2</v>
      </c>
      <c r="W5" s="17"/>
      <c r="X5" s="31" t="s">
        <v>46</v>
      </c>
      <c r="Y5" s="550" t="s">
        <v>821</v>
      </c>
      <c r="Z5" s="372" t="s">
        <v>808</v>
      </c>
      <c r="AA5" s="373">
        <v>6.25E-2</v>
      </c>
      <c r="AB5" s="373">
        <v>0</v>
      </c>
      <c r="AC5" s="373">
        <v>0.40625</v>
      </c>
      <c r="AD5" s="373">
        <v>0.375</v>
      </c>
      <c r="AE5" s="373">
        <v>0.25</v>
      </c>
      <c r="AF5" s="373">
        <v>0.125</v>
      </c>
    </row>
    <row r="6" spans="1:32" ht="33" customHeight="1" thickBot="1" x14ac:dyDescent="0.3">
      <c r="B6" s="374"/>
      <c r="C6" s="347" t="s">
        <v>475</v>
      </c>
      <c r="D6" s="347" t="s">
        <v>476</v>
      </c>
      <c r="E6" s="347" t="s">
        <v>477</v>
      </c>
      <c r="F6" s="347" t="s">
        <v>478</v>
      </c>
      <c r="G6" s="347" t="s">
        <v>434</v>
      </c>
      <c r="H6" s="375" t="s">
        <v>475</v>
      </c>
      <c r="I6" s="347" t="s">
        <v>476</v>
      </c>
      <c r="J6" s="347" t="s">
        <v>477</v>
      </c>
      <c r="K6" s="347" t="s">
        <v>478</v>
      </c>
      <c r="L6" s="376" t="s">
        <v>434</v>
      </c>
      <c r="M6" s="17"/>
      <c r="N6" s="31" t="s">
        <v>18</v>
      </c>
      <c r="O6" s="551"/>
      <c r="P6" s="377" t="s">
        <v>809</v>
      </c>
      <c r="Q6" s="361">
        <v>0.2</v>
      </c>
      <c r="R6" s="361">
        <v>0</v>
      </c>
      <c r="S6" s="361">
        <v>0.2</v>
      </c>
      <c r="T6" s="361">
        <v>0.2</v>
      </c>
      <c r="U6" s="361">
        <v>0.2</v>
      </c>
      <c r="V6" s="361">
        <v>0</v>
      </c>
      <c r="W6" s="378"/>
      <c r="X6" s="31" t="s">
        <v>18</v>
      </c>
      <c r="Y6" s="551"/>
      <c r="Z6" s="377" t="s">
        <v>809</v>
      </c>
      <c r="AA6" s="361">
        <v>0.13333333333333333</v>
      </c>
      <c r="AB6" s="361">
        <v>0</v>
      </c>
      <c r="AC6" s="361">
        <v>0.26666666666666666</v>
      </c>
      <c r="AD6" s="361">
        <v>0.26666666666666666</v>
      </c>
      <c r="AE6" s="361">
        <v>0.33333333333333331</v>
      </c>
      <c r="AF6" s="361">
        <v>6.6666666666666666E-2</v>
      </c>
    </row>
    <row r="7" spans="1:32" ht="33" customHeight="1" thickTop="1" thickBot="1" x14ac:dyDescent="0.3">
      <c r="A7" s="48" t="s">
        <v>46</v>
      </c>
      <c r="B7" s="356" t="s">
        <v>46</v>
      </c>
      <c r="C7" s="379">
        <v>0.02</v>
      </c>
      <c r="D7" s="379">
        <v>0.04</v>
      </c>
      <c r="E7" s="379">
        <v>4.533333333333335E-2</v>
      </c>
      <c r="F7" s="379">
        <v>0.09</v>
      </c>
      <c r="G7" s="379">
        <v>3.2500000000000001E-2</v>
      </c>
      <c r="H7" s="380">
        <v>0.02</v>
      </c>
      <c r="I7" s="379">
        <v>3.7500000000000006E-2</v>
      </c>
      <c r="J7" s="379">
        <v>3.4814285714285707E-2</v>
      </c>
      <c r="K7" s="379">
        <v>0.06</v>
      </c>
      <c r="L7" s="379">
        <v>0.04</v>
      </c>
      <c r="M7" s="381">
        <v>15</v>
      </c>
      <c r="N7" s="31"/>
      <c r="O7" s="552"/>
      <c r="P7" s="382" t="s">
        <v>828</v>
      </c>
      <c r="Q7" s="383">
        <v>0.48936170212765956</v>
      </c>
      <c r="R7" s="383">
        <v>2.1276595744680851E-2</v>
      </c>
      <c r="S7" s="383">
        <v>0.14893617021276595</v>
      </c>
      <c r="T7" s="383">
        <v>0.23404255319148937</v>
      </c>
      <c r="U7" s="383">
        <v>0.1702127659574468</v>
      </c>
      <c r="V7" s="383">
        <v>2.1276595744680851E-2</v>
      </c>
      <c r="W7" s="378"/>
      <c r="X7" s="31"/>
      <c r="Y7" s="552"/>
      <c r="Z7" s="382" t="s">
        <v>828</v>
      </c>
      <c r="AA7" s="383">
        <v>8.5106382978723402E-2</v>
      </c>
      <c r="AB7" s="383">
        <v>0</v>
      </c>
      <c r="AC7" s="383">
        <v>0.36170212765957449</v>
      </c>
      <c r="AD7" s="383">
        <v>0.34042553191489361</v>
      </c>
      <c r="AE7" s="383">
        <v>0.27659574468085107</v>
      </c>
      <c r="AF7" s="383">
        <v>0.10638297872340426</v>
      </c>
    </row>
    <row r="8" spans="1:32" ht="33" customHeight="1" thickTop="1" thickBot="1" x14ac:dyDescent="0.3">
      <c r="A8" s="48" t="s">
        <v>18</v>
      </c>
      <c r="B8" s="356" t="s">
        <v>18</v>
      </c>
      <c r="C8" s="384" t="s">
        <v>675</v>
      </c>
      <c r="D8" s="384" t="s">
        <v>675</v>
      </c>
      <c r="E8" s="384" t="s">
        <v>675</v>
      </c>
      <c r="F8" s="384" t="s">
        <v>675</v>
      </c>
      <c r="G8" s="394">
        <v>3.2500000000000001E-2</v>
      </c>
      <c r="H8" s="385" t="s">
        <v>675</v>
      </c>
      <c r="I8" s="384" t="s">
        <v>675</v>
      </c>
      <c r="J8" s="384" t="s">
        <v>675</v>
      </c>
      <c r="K8" s="384" t="s">
        <v>675</v>
      </c>
      <c r="L8" s="394">
        <v>0.04</v>
      </c>
      <c r="M8" s="70">
        <v>4</v>
      </c>
      <c r="N8" s="31" t="s">
        <v>46</v>
      </c>
      <c r="O8" s="553" t="s">
        <v>822</v>
      </c>
      <c r="P8" s="386" t="s">
        <v>808</v>
      </c>
      <c r="Q8" s="387">
        <v>0.59375</v>
      </c>
      <c r="R8" s="387">
        <v>0</v>
      </c>
      <c r="S8" s="387">
        <v>9.375E-2</v>
      </c>
      <c r="T8" s="387">
        <v>0.1875</v>
      </c>
      <c r="U8" s="387">
        <v>9.375E-2</v>
      </c>
      <c r="V8" s="387">
        <v>3.125E-2</v>
      </c>
      <c r="W8" s="388"/>
      <c r="X8" s="31" t="s">
        <v>46</v>
      </c>
      <c r="Y8" s="553" t="s">
        <v>822</v>
      </c>
      <c r="Z8" s="386" t="s">
        <v>808</v>
      </c>
      <c r="AA8" s="387">
        <v>6.25E-2</v>
      </c>
      <c r="AB8" s="387">
        <v>0</v>
      </c>
      <c r="AC8" s="387">
        <v>0.3125</v>
      </c>
      <c r="AD8" s="387">
        <v>0.25</v>
      </c>
      <c r="AE8" s="387">
        <v>0.3125</v>
      </c>
      <c r="AF8" s="387">
        <v>0.125</v>
      </c>
    </row>
    <row r="9" spans="1:32" ht="33" customHeight="1" thickBot="1" x14ac:dyDescent="0.3">
      <c r="B9" s="389" t="s">
        <v>519</v>
      </c>
      <c r="C9" s="390">
        <v>0.02</v>
      </c>
      <c r="D9" s="390">
        <v>0.04</v>
      </c>
      <c r="E9" s="390">
        <v>4.6578947368421074E-2</v>
      </c>
      <c r="F9" s="390">
        <v>0.09</v>
      </c>
      <c r="G9" s="390">
        <v>3.2500000000000001E-2</v>
      </c>
      <c r="H9" s="391">
        <v>0</v>
      </c>
      <c r="I9" s="390">
        <v>3.5000000000000003E-2</v>
      </c>
      <c r="J9" s="390">
        <v>3.4073684210526319E-2</v>
      </c>
      <c r="K9" s="390">
        <v>0.06</v>
      </c>
      <c r="L9" s="390">
        <v>0.04</v>
      </c>
      <c r="M9" s="392">
        <v>19</v>
      </c>
      <c r="N9" s="31" t="s">
        <v>18</v>
      </c>
      <c r="O9" s="551"/>
      <c r="P9" s="377" t="s">
        <v>809</v>
      </c>
      <c r="Q9" s="361">
        <v>0.13333333333333333</v>
      </c>
      <c r="R9" s="361">
        <v>0</v>
      </c>
      <c r="S9" s="361">
        <v>0.2</v>
      </c>
      <c r="T9" s="361">
        <v>0.2</v>
      </c>
      <c r="U9" s="361">
        <v>0.2</v>
      </c>
      <c r="V9" s="361">
        <v>0</v>
      </c>
      <c r="W9" s="378"/>
      <c r="X9" s="31" t="s">
        <v>18</v>
      </c>
      <c r="Y9" s="551"/>
      <c r="Z9" s="377" t="s">
        <v>809</v>
      </c>
      <c r="AA9" s="361">
        <v>0</v>
      </c>
      <c r="AB9" s="361">
        <v>0</v>
      </c>
      <c r="AC9" s="361">
        <v>0.26666666666666666</v>
      </c>
      <c r="AD9" s="361">
        <v>0.26666666666666666</v>
      </c>
      <c r="AE9" s="361">
        <v>0.33333333333333331</v>
      </c>
      <c r="AF9" s="361">
        <v>6.6666666666666666E-2</v>
      </c>
    </row>
    <row r="10" spans="1:32" ht="33" customHeight="1" thickTop="1" thickBot="1" x14ac:dyDescent="0.3">
      <c r="O10" s="552"/>
      <c r="P10" s="382" t="s">
        <v>828</v>
      </c>
      <c r="Q10" s="383">
        <v>0.44680851063829785</v>
      </c>
      <c r="R10" s="383">
        <v>0</v>
      </c>
      <c r="S10" s="383">
        <v>0.1276595744680851</v>
      </c>
      <c r="T10" s="383">
        <v>0.19148936170212766</v>
      </c>
      <c r="U10" s="383">
        <v>0.1276595744680851</v>
      </c>
      <c r="V10" s="383">
        <v>2.1276595744680851E-2</v>
      </c>
      <c r="W10" s="378"/>
      <c r="Y10" s="552"/>
      <c r="Z10" s="382" t="s">
        <v>828</v>
      </c>
      <c r="AA10" s="383">
        <v>4.2553191489361701E-2</v>
      </c>
      <c r="AB10" s="383">
        <v>0</v>
      </c>
      <c r="AC10" s="383">
        <v>0.2978723404255319</v>
      </c>
      <c r="AD10" s="383">
        <v>0.25531914893617019</v>
      </c>
      <c r="AE10" s="383">
        <v>0.31914893617021278</v>
      </c>
      <c r="AF10" s="383">
        <v>0.10638297872340426</v>
      </c>
    </row>
    <row r="11" spans="1:32" ht="104.25" customHeight="1" thickTop="1" thickBot="1" x14ac:dyDescent="0.3">
      <c r="B11" s="370" t="s">
        <v>823</v>
      </c>
      <c r="C11" s="370"/>
      <c r="D11" s="370"/>
      <c r="E11" s="370"/>
      <c r="F11" s="370"/>
      <c r="G11" s="370"/>
      <c r="H11" s="370"/>
      <c r="I11" s="370"/>
      <c r="J11" s="370"/>
      <c r="K11" s="370"/>
      <c r="L11" s="370"/>
      <c r="O11" s="554" t="s">
        <v>48</v>
      </c>
      <c r="P11" s="554"/>
      <c r="Q11" s="549" t="s">
        <v>520</v>
      </c>
      <c r="R11" s="549"/>
      <c r="S11" s="549"/>
      <c r="T11" s="549"/>
      <c r="U11" s="549"/>
      <c r="V11" s="549"/>
      <c r="W11" s="388"/>
      <c r="Y11" s="554" t="s">
        <v>48</v>
      </c>
      <c r="Z11" s="554"/>
      <c r="AA11" s="549" t="s">
        <v>521</v>
      </c>
      <c r="AB11" s="549"/>
      <c r="AC11" s="549"/>
      <c r="AD11" s="549"/>
      <c r="AE11" s="549"/>
      <c r="AF11" s="549"/>
    </row>
    <row r="12" spans="1:32" ht="33" customHeight="1" thickTop="1" thickBot="1" x14ac:dyDescent="0.3">
      <c r="B12" s="23"/>
      <c r="C12" s="46" t="s">
        <v>819</v>
      </c>
      <c r="D12" s="46"/>
      <c r="E12" s="46"/>
      <c r="F12" s="46"/>
      <c r="G12" s="46"/>
      <c r="H12" s="371" t="s">
        <v>820</v>
      </c>
      <c r="I12" s="46"/>
      <c r="J12" s="46"/>
      <c r="K12" s="46"/>
      <c r="L12" s="47"/>
      <c r="O12" s="15"/>
      <c r="P12" s="15"/>
      <c r="Q12" s="15"/>
      <c r="R12" s="15"/>
      <c r="S12" s="15"/>
      <c r="T12" s="15"/>
      <c r="U12" s="15"/>
      <c r="V12" s="15"/>
      <c r="W12" s="15"/>
      <c r="Y12" s="15"/>
      <c r="Z12" s="15"/>
      <c r="AA12" s="15"/>
      <c r="AB12" s="15"/>
      <c r="AC12" s="15"/>
      <c r="AD12" s="15"/>
      <c r="AE12" s="15"/>
      <c r="AF12" s="15"/>
    </row>
    <row r="13" spans="1:32" ht="33" customHeight="1" thickBot="1" x14ac:dyDescent="0.3">
      <c r="B13" s="374"/>
      <c r="C13" s="347" t="s">
        <v>475</v>
      </c>
      <c r="D13" s="347" t="s">
        <v>476</v>
      </c>
      <c r="E13" s="347" t="s">
        <v>477</v>
      </c>
      <c r="F13" s="347" t="s">
        <v>478</v>
      </c>
      <c r="G13" s="347" t="s">
        <v>434</v>
      </c>
      <c r="H13" s="375" t="s">
        <v>475</v>
      </c>
      <c r="I13" s="347" t="s">
        <v>476</v>
      </c>
      <c r="J13" s="347" t="s">
        <v>477</v>
      </c>
      <c r="K13" s="347" t="s">
        <v>478</v>
      </c>
      <c r="L13" s="376" t="s">
        <v>434</v>
      </c>
      <c r="W13" s="15"/>
    </row>
    <row r="14" spans="1:32" ht="33" customHeight="1" thickTop="1" thickBot="1" x14ac:dyDescent="0.3">
      <c r="A14" s="48" t="s">
        <v>46</v>
      </c>
      <c r="B14" s="356" t="s">
        <v>46</v>
      </c>
      <c r="C14" s="379">
        <v>0.02</v>
      </c>
      <c r="D14" s="379">
        <v>0.04</v>
      </c>
      <c r="E14" s="379">
        <v>4.3038888888888904E-2</v>
      </c>
      <c r="F14" s="379">
        <v>0.08</v>
      </c>
      <c r="G14" s="379">
        <v>3.2500000000000001E-2</v>
      </c>
      <c r="H14" s="380">
        <v>0.02</v>
      </c>
      <c r="I14" s="379">
        <v>3.5000000000000003E-2</v>
      </c>
      <c r="J14" s="379">
        <v>3.433846153846154E-2</v>
      </c>
      <c r="K14" s="379">
        <v>0.06</v>
      </c>
      <c r="L14" s="379">
        <v>0.04</v>
      </c>
      <c r="M14" s="381">
        <v>18</v>
      </c>
    </row>
    <row r="15" spans="1:32" ht="33" customHeight="1" thickBot="1" x14ac:dyDescent="0.3">
      <c r="A15" s="48" t="s">
        <v>18</v>
      </c>
      <c r="B15" s="356" t="s">
        <v>18</v>
      </c>
      <c r="C15" s="384">
        <v>0</v>
      </c>
      <c r="D15" s="384">
        <v>0.04</v>
      </c>
      <c r="E15" s="384">
        <v>4.2000000000000003E-2</v>
      </c>
      <c r="F15" s="384">
        <v>7.0000000000000007E-2</v>
      </c>
      <c r="G15" s="394">
        <v>3.2500000000000001E-2</v>
      </c>
      <c r="H15" s="385">
        <v>0</v>
      </c>
      <c r="I15" s="384">
        <v>2.5000000000000001E-2</v>
      </c>
      <c r="J15" s="384">
        <v>2.6666666666666668E-2</v>
      </c>
      <c r="K15" s="384">
        <v>0.06</v>
      </c>
      <c r="L15" s="394">
        <v>0.04</v>
      </c>
      <c r="M15" s="70">
        <v>5</v>
      </c>
    </row>
    <row r="16" spans="1:32" ht="33" customHeight="1" thickBot="1" x14ac:dyDescent="0.3">
      <c r="B16" s="389" t="s">
        <v>519</v>
      </c>
      <c r="C16" s="390">
        <v>0</v>
      </c>
      <c r="D16" s="390">
        <v>0.04</v>
      </c>
      <c r="E16" s="390">
        <v>4.2813043478260877E-2</v>
      </c>
      <c r="F16" s="390">
        <v>0.08</v>
      </c>
      <c r="G16" s="390">
        <v>3.2500000000000001E-2</v>
      </c>
      <c r="H16" s="391">
        <v>0</v>
      </c>
      <c r="I16" s="390">
        <v>3.5000000000000003E-2</v>
      </c>
      <c r="J16" s="390">
        <v>3.191578947368421E-2</v>
      </c>
      <c r="K16" s="390">
        <v>0.06</v>
      </c>
      <c r="L16" s="390">
        <v>0.04</v>
      </c>
      <c r="M16" s="392">
        <v>23</v>
      </c>
    </row>
    <row r="17" spans="2:32" ht="33" customHeight="1" thickTop="1" x14ac:dyDescent="0.25">
      <c r="M17" s="393"/>
    </row>
    <row r="18" spans="2:32" ht="18" customHeight="1" x14ac:dyDescent="0.25">
      <c r="C18" s="18"/>
      <c r="D18" s="18"/>
      <c r="E18" s="18"/>
      <c r="F18" s="18"/>
      <c r="G18" s="18"/>
      <c r="H18" s="18"/>
      <c r="I18" s="18"/>
      <c r="J18" s="18"/>
      <c r="N18" s="29"/>
      <c r="O18" s="29"/>
      <c r="P18" s="29"/>
      <c r="Q18" s="29"/>
      <c r="R18" s="29"/>
      <c r="S18" s="29"/>
      <c r="T18" s="29"/>
      <c r="U18" s="29"/>
      <c r="V18" s="29"/>
      <c r="W18" s="29"/>
    </row>
    <row r="19" spans="2:32" ht="18" customHeight="1" x14ac:dyDescent="0.25">
      <c r="B19" s="40" t="s">
        <v>824</v>
      </c>
      <c r="C19" s="40"/>
      <c r="D19" s="40"/>
      <c r="E19" s="40"/>
      <c r="F19" s="40"/>
      <c r="G19" s="40"/>
      <c r="H19" s="40"/>
      <c r="I19" s="40"/>
      <c r="J19" s="40"/>
      <c r="K19" s="40"/>
      <c r="N19" s="29"/>
      <c r="O19" s="29"/>
      <c r="P19" s="29"/>
      <c r="Q19" s="29"/>
      <c r="R19" s="29"/>
      <c r="S19" s="29"/>
      <c r="T19" s="29"/>
      <c r="U19" s="29"/>
      <c r="V19" s="29"/>
      <c r="W19" s="29"/>
      <c r="Y19" s="39" t="s">
        <v>825</v>
      </c>
      <c r="Z19" s="51"/>
      <c r="AA19" s="51"/>
      <c r="AB19" s="51"/>
      <c r="AC19" s="51"/>
      <c r="AD19" s="51"/>
      <c r="AE19" s="51"/>
      <c r="AF19" s="51"/>
    </row>
    <row r="20" spans="2:32" ht="18" customHeight="1" x14ac:dyDescent="0.25">
      <c r="B20" s="40" t="s">
        <v>826</v>
      </c>
      <c r="C20" s="40"/>
      <c r="D20" s="40"/>
      <c r="E20" s="40"/>
      <c r="F20" s="40"/>
      <c r="G20" s="40"/>
      <c r="H20" s="40"/>
      <c r="I20" s="40"/>
      <c r="J20" s="40"/>
      <c r="K20" s="40"/>
      <c r="N20" s="29"/>
      <c r="O20" s="29"/>
      <c r="P20" s="29"/>
      <c r="Q20" s="29"/>
      <c r="R20" s="29"/>
      <c r="S20" s="29"/>
      <c r="T20" s="29"/>
      <c r="U20" s="29"/>
      <c r="V20" s="29"/>
      <c r="W20" s="29"/>
      <c r="Y20" s="39" t="s">
        <v>827</v>
      </c>
      <c r="Z20" s="51"/>
      <c r="AA20" s="51"/>
      <c r="AB20" s="51"/>
      <c r="AC20" s="51"/>
      <c r="AD20" s="51"/>
      <c r="AE20" s="51"/>
      <c r="AF20" s="51"/>
    </row>
    <row r="21" spans="2:32" ht="15" customHeight="1" x14ac:dyDescent="0.25">
      <c r="N21" s="29"/>
      <c r="O21" s="29"/>
      <c r="P21" s="29"/>
      <c r="Q21" s="29"/>
      <c r="R21" s="29"/>
      <c r="S21" s="29"/>
      <c r="T21" s="29"/>
      <c r="U21" s="29"/>
      <c r="V21" s="29"/>
      <c r="W21" s="29"/>
    </row>
    <row r="22" spans="2:32" ht="15" customHeight="1" x14ac:dyDescent="0.25">
      <c r="N22" s="29"/>
      <c r="O22" s="29"/>
      <c r="P22" s="29"/>
      <c r="Q22" s="29"/>
      <c r="R22" s="29"/>
      <c r="S22" s="29"/>
      <c r="T22" s="29"/>
      <c r="U22" s="29"/>
      <c r="V22" s="29"/>
      <c r="W22" s="29"/>
    </row>
    <row r="23" spans="2:32" ht="18" customHeight="1" x14ac:dyDescent="0.25">
      <c r="N23" s="29"/>
      <c r="O23" s="29"/>
      <c r="P23" s="29"/>
      <c r="Q23" s="29"/>
      <c r="R23" s="29"/>
      <c r="S23" s="29"/>
      <c r="T23" s="29"/>
      <c r="U23" s="29"/>
      <c r="V23" s="29"/>
      <c r="W23" s="29"/>
      <c r="Y23" s="24"/>
      <c r="Z23" s="24"/>
      <c r="AA23" s="24"/>
      <c r="AB23" s="24"/>
      <c r="AC23" s="24"/>
      <c r="AD23" s="24"/>
      <c r="AE23" s="24"/>
    </row>
    <row r="24" spans="2:32" ht="18" customHeight="1" x14ac:dyDescent="0.25">
      <c r="N24" s="29"/>
      <c r="O24" s="29"/>
      <c r="P24" s="29"/>
      <c r="Q24" s="29"/>
      <c r="R24" s="29"/>
      <c r="S24" s="29"/>
      <c r="T24" s="29"/>
      <c r="U24" s="29"/>
      <c r="V24" s="29"/>
      <c r="W24" s="29"/>
      <c r="X24" s="24"/>
      <c r="Y24" s="24"/>
      <c r="Z24" s="24"/>
      <c r="AA24" s="24"/>
      <c r="AB24" s="24"/>
      <c r="AC24" s="24"/>
      <c r="AD24" s="24"/>
      <c r="AE24" s="24"/>
    </row>
    <row r="25" spans="2:32" ht="18" customHeight="1" x14ac:dyDescent="0.25">
      <c r="N25" s="29"/>
      <c r="O25" s="29"/>
      <c r="P25" s="29"/>
      <c r="Q25" s="29"/>
      <c r="R25" s="29"/>
      <c r="S25" s="29"/>
      <c r="T25" s="29"/>
      <c r="U25" s="29"/>
      <c r="V25" s="29"/>
      <c r="W25" s="29"/>
      <c r="X25" s="24"/>
    </row>
    <row r="26" spans="2:32" ht="15" customHeight="1" x14ac:dyDescent="0.25">
      <c r="N26" s="29"/>
      <c r="O26" s="29"/>
      <c r="P26" s="29"/>
      <c r="Q26" s="29"/>
      <c r="R26" s="29"/>
      <c r="S26" s="29"/>
      <c r="T26" s="29"/>
      <c r="U26" s="29"/>
      <c r="V26" s="29"/>
      <c r="W26" s="29"/>
    </row>
    <row r="27" spans="2:32" ht="15" customHeight="1" x14ac:dyDescent="0.25">
      <c r="N27" s="29"/>
      <c r="O27" s="29"/>
      <c r="P27" s="29"/>
      <c r="Q27" s="29"/>
      <c r="R27" s="29"/>
      <c r="S27" s="29"/>
      <c r="T27" s="29"/>
      <c r="U27" s="29"/>
      <c r="V27" s="29"/>
      <c r="W27" s="29"/>
    </row>
    <row r="28" spans="2:32" ht="15" customHeight="1" x14ac:dyDescent="0.25">
      <c r="N28" s="29"/>
      <c r="O28" s="29"/>
      <c r="P28" s="29"/>
      <c r="Q28" s="29"/>
      <c r="R28" s="29"/>
      <c r="S28" s="29"/>
      <c r="T28" s="29"/>
      <c r="U28" s="29"/>
      <c r="V28" s="29"/>
      <c r="W28" s="29"/>
    </row>
    <row r="29" spans="2:32" ht="15" customHeight="1" x14ac:dyDescent="0.25">
      <c r="N29" s="29"/>
      <c r="O29" s="29"/>
      <c r="P29" s="29"/>
      <c r="Q29" s="29"/>
      <c r="R29" s="29"/>
      <c r="S29" s="29"/>
      <c r="T29" s="29"/>
      <c r="U29" s="29"/>
      <c r="V29" s="29"/>
      <c r="W29" s="29"/>
    </row>
    <row r="30" spans="2:32" ht="15" customHeight="1" x14ac:dyDescent="0.25">
      <c r="N30" s="29"/>
      <c r="O30" s="29"/>
      <c r="P30" s="29"/>
      <c r="Q30" s="29"/>
      <c r="R30" s="29"/>
      <c r="S30" s="29"/>
      <c r="T30" s="29"/>
      <c r="U30" s="29"/>
      <c r="V30" s="29"/>
      <c r="W30" s="29"/>
    </row>
    <row r="31" spans="2:32" ht="15" customHeight="1" x14ac:dyDescent="0.25">
      <c r="N31" s="29"/>
      <c r="O31" s="29"/>
      <c r="P31" s="29"/>
      <c r="Q31" s="29"/>
      <c r="R31" s="29"/>
      <c r="S31" s="29"/>
      <c r="T31" s="29"/>
      <c r="U31" s="29"/>
      <c r="V31" s="29"/>
      <c r="W31" s="29"/>
    </row>
    <row r="32" spans="2:32" ht="15" customHeight="1" x14ac:dyDescent="0.25">
      <c r="N32" s="29"/>
      <c r="O32" s="29"/>
      <c r="P32" s="29"/>
      <c r="Q32" s="29"/>
      <c r="R32" s="29"/>
      <c r="S32" s="29"/>
      <c r="T32" s="29"/>
      <c r="U32" s="29"/>
      <c r="V32" s="29"/>
      <c r="W32" s="29"/>
    </row>
    <row r="33" spans="2:27" ht="15" customHeight="1" x14ac:dyDescent="0.25">
      <c r="N33" s="29"/>
      <c r="O33" s="29"/>
      <c r="P33" s="29"/>
      <c r="Q33" s="29"/>
      <c r="R33" s="29"/>
      <c r="S33" s="29"/>
      <c r="T33" s="29"/>
      <c r="U33" s="29"/>
      <c r="V33" s="29"/>
      <c r="W33" s="29"/>
    </row>
    <row r="34" spans="2:27" ht="15" customHeight="1" x14ac:dyDescent="0.25">
      <c r="N34" s="29"/>
      <c r="O34" s="29"/>
      <c r="P34" s="29"/>
      <c r="Q34" s="29"/>
      <c r="R34" s="29"/>
      <c r="S34" s="29"/>
      <c r="T34" s="29"/>
      <c r="U34" s="29"/>
      <c r="V34" s="29"/>
      <c r="W34" s="29"/>
    </row>
    <row r="35" spans="2:27" ht="15" customHeight="1" x14ac:dyDescent="0.25">
      <c r="N35" s="29"/>
      <c r="O35" s="29"/>
      <c r="P35" s="29"/>
      <c r="Q35" s="29"/>
      <c r="R35" s="29"/>
      <c r="S35" s="29"/>
      <c r="T35" s="29"/>
      <c r="U35" s="29"/>
      <c r="V35" s="29"/>
      <c r="W35" s="29"/>
    </row>
    <row r="36" spans="2:27" ht="15" customHeight="1" x14ac:dyDescent="0.25">
      <c r="N36" s="29"/>
      <c r="O36" s="29"/>
      <c r="P36" s="29"/>
      <c r="Q36" s="29"/>
      <c r="R36" s="29"/>
      <c r="S36" s="29"/>
      <c r="T36" s="29"/>
      <c r="U36" s="29"/>
      <c r="V36" s="29"/>
      <c r="W36" s="29"/>
    </row>
    <row r="37" spans="2:27" ht="15" customHeight="1" x14ac:dyDescent="0.25">
      <c r="N37" s="29"/>
      <c r="O37" s="29"/>
      <c r="P37" s="29"/>
      <c r="Q37" s="29"/>
      <c r="R37" s="29"/>
      <c r="S37" s="29"/>
      <c r="T37" s="29"/>
      <c r="U37" s="29"/>
      <c r="V37" s="29"/>
      <c r="W37" s="29"/>
    </row>
    <row r="38" spans="2:27" ht="15" customHeight="1" x14ac:dyDescent="0.25">
      <c r="N38" s="29"/>
      <c r="O38" s="29"/>
      <c r="P38" s="29"/>
      <c r="Q38" s="29"/>
      <c r="R38" s="29"/>
      <c r="S38" s="29"/>
      <c r="T38" s="29"/>
      <c r="U38" s="29"/>
      <c r="V38" s="29"/>
      <c r="W38" s="29"/>
    </row>
    <row r="39" spans="2:27" ht="15" customHeight="1" x14ac:dyDescent="0.25">
      <c r="N39" s="29"/>
      <c r="O39" s="29"/>
      <c r="P39" s="29"/>
      <c r="Q39" s="29"/>
      <c r="R39" s="29"/>
      <c r="S39" s="29"/>
      <c r="T39" s="29"/>
      <c r="U39" s="29"/>
      <c r="V39" s="29"/>
      <c r="W39" s="29"/>
    </row>
    <row r="40" spans="2:27" ht="15" customHeight="1" x14ac:dyDescent="0.25">
      <c r="N40" s="29"/>
      <c r="O40" s="29"/>
      <c r="P40" s="29"/>
      <c r="Q40" s="29"/>
      <c r="R40" s="29"/>
      <c r="S40" s="29"/>
      <c r="T40" s="29"/>
      <c r="U40" s="29"/>
      <c r="V40" s="29"/>
      <c r="W40" s="29"/>
    </row>
    <row r="41" spans="2:27" ht="15" customHeight="1" x14ac:dyDescent="0.25">
      <c r="B41" s="31"/>
      <c r="C41" s="35" t="s">
        <v>819</v>
      </c>
      <c r="D41" s="35" t="s">
        <v>820</v>
      </c>
      <c r="N41" s="29"/>
      <c r="O41" s="29"/>
      <c r="P41" s="29"/>
      <c r="Q41" s="29"/>
      <c r="R41" s="29"/>
      <c r="S41" s="29"/>
      <c r="T41" s="29"/>
      <c r="U41" s="29"/>
      <c r="V41" s="29"/>
      <c r="W41" s="29"/>
    </row>
    <row r="42" spans="2:27" ht="15" customHeight="1" x14ac:dyDescent="0.25">
      <c r="B42" s="31" t="s">
        <v>800</v>
      </c>
      <c r="C42" s="50">
        <v>0.04</v>
      </c>
      <c r="D42" s="50">
        <v>3.5000000000000003E-2</v>
      </c>
      <c r="N42" s="29"/>
      <c r="O42" s="29"/>
      <c r="P42" s="29"/>
      <c r="Q42" s="29"/>
      <c r="R42" s="29"/>
      <c r="S42" s="29"/>
      <c r="T42" s="29"/>
      <c r="U42" s="29"/>
      <c r="V42" s="29"/>
      <c r="W42" s="29"/>
      <c r="Y42" s="31"/>
      <c r="Z42" s="31" t="s">
        <v>800</v>
      </c>
      <c r="AA42" s="31" t="s">
        <v>801</v>
      </c>
    </row>
    <row r="43" spans="2:27" ht="15" customHeight="1" x14ac:dyDescent="0.25">
      <c r="B43" s="31" t="s">
        <v>801</v>
      </c>
      <c r="C43" s="50">
        <v>0.04</v>
      </c>
      <c r="D43" s="50">
        <v>3.5000000000000003E-2</v>
      </c>
      <c r="N43" s="29"/>
      <c r="O43" s="29"/>
      <c r="P43" s="29"/>
      <c r="Q43" s="29"/>
      <c r="R43" s="29"/>
      <c r="S43" s="29"/>
      <c r="T43" s="29"/>
      <c r="U43" s="29"/>
      <c r="V43" s="29"/>
      <c r="W43" s="29"/>
      <c r="Y43" s="31" t="s">
        <v>518</v>
      </c>
      <c r="Z43" s="38">
        <v>0.48936170212765956</v>
      </c>
      <c r="AA43" s="38">
        <v>8.5106382978723402E-2</v>
      </c>
    </row>
    <row r="44" spans="2:27" ht="15" customHeight="1" x14ac:dyDescent="0.25">
      <c r="N44" s="29"/>
      <c r="O44" s="29"/>
      <c r="P44" s="29"/>
      <c r="Q44" s="29"/>
      <c r="R44" s="29"/>
      <c r="S44" s="29"/>
      <c r="T44" s="29"/>
      <c r="U44" s="29"/>
      <c r="V44" s="29"/>
      <c r="W44" s="29"/>
      <c r="Y44" s="31" t="s">
        <v>815</v>
      </c>
      <c r="Z44" s="38">
        <v>2.1276595744680851E-2</v>
      </c>
      <c r="AA44" s="38">
        <v>0</v>
      </c>
    </row>
    <row r="45" spans="2:27" ht="15" customHeight="1" x14ac:dyDescent="0.25">
      <c r="N45" s="29"/>
      <c r="O45" s="29"/>
      <c r="P45" s="29"/>
      <c r="Q45" s="29"/>
      <c r="R45" s="29"/>
      <c r="S45" s="29"/>
      <c r="T45" s="29"/>
      <c r="U45" s="29"/>
      <c r="V45" s="29"/>
      <c r="W45" s="29"/>
      <c r="Y45" s="31" t="s">
        <v>816</v>
      </c>
      <c r="Z45" s="38">
        <v>0.14893617021276595</v>
      </c>
      <c r="AA45" s="38">
        <v>0.36170212765957449</v>
      </c>
    </row>
    <row r="46" spans="2:27" ht="15" customHeight="1" x14ac:dyDescent="0.25">
      <c r="N46" s="29"/>
      <c r="O46" s="29"/>
      <c r="P46" s="29"/>
      <c r="Q46" s="29"/>
      <c r="R46" s="29"/>
      <c r="S46" s="29"/>
      <c r="T46" s="29"/>
      <c r="U46" s="29"/>
      <c r="V46" s="29"/>
      <c r="W46" s="29"/>
      <c r="Y46" s="31" t="s">
        <v>817</v>
      </c>
      <c r="Z46" s="38">
        <v>0.23404255319148937</v>
      </c>
      <c r="AA46" s="38">
        <v>0.34042553191489361</v>
      </c>
    </row>
    <row r="47" spans="2:27" ht="15" customHeight="1" x14ac:dyDescent="0.25">
      <c r="N47" s="29"/>
      <c r="O47" s="29"/>
      <c r="P47" s="29"/>
      <c r="Q47" s="29"/>
      <c r="R47" s="29"/>
      <c r="S47" s="29"/>
      <c r="T47" s="29"/>
      <c r="U47" s="29"/>
      <c r="V47" s="29"/>
      <c r="W47" s="29"/>
      <c r="Y47" s="31" t="s">
        <v>818</v>
      </c>
      <c r="Z47" s="38">
        <v>0.1702127659574468</v>
      </c>
      <c r="AA47" s="38">
        <v>0.27659574468085107</v>
      </c>
    </row>
    <row r="48" spans="2:27" ht="15" customHeight="1" x14ac:dyDescent="0.25">
      <c r="N48" s="29"/>
      <c r="O48" s="29"/>
      <c r="P48" s="29"/>
      <c r="Q48" s="29"/>
      <c r="R48" s="29"/>
      <c r="S48" s="29"/>
      <c r="T48" s="29"/>
      <c r="U48" s="29"/>
      <c r="V48" s="29"/>
      <c r="W48" s="29"/>
      <c r="Y48" s="31" t="s">
        <v>515</v>
      </c>
      <c r="Z48" s="38">
        <v>2.1276595744680851E-2</v>
      </c>
      <c r="AA48" s="38">
        <v>0.10638297872340426</v>
      </c>
    </row>
    <row r="49" spans="14:23" ht="15" customHeight="1" x14ac:dyDescent="0.25">
      <c r="N49" s="29"/>
      <c r="O49" s="29"/>
      <c r="P49" s="29"/>
      <c r="Q49" s="29"/>
      <c r="R49" s="29"/>
      <c r="S49" s="29"/>
      <c r="T49" s="29"/>
      <c r="U49" s="29"/>
      <c r="V49" s="29"/>
      <c r="W49" s="29"/>
    </row>
  </sheetData>
  <mergeCells count="8">
    <mergeCell ref="AA11:AF11"/>
    <mergeCell ref="O5:O7"/>
    <mergeCell ref="Y5:Y7"/>
    <mergeCell ref="O8:O10"/>
    <mergeCell ref="Y8:Y10"/>
    <mergeCell ref="O11:P11"/>
    <mergeCell ref="Q11:V11"/>
    <mergeCell ref="Y11:Z11"/>
  </mergeCells>
  <printOptions horizontalCentered="1" verticalCentered="1"/>
  <pageMargins left="0.7" right="0.7" top="0.75" bottom="0.75" header="0.3" footer="0.3"/>
  <pageSetup scale="80" orientation="landscape" r:id="rId1"/>
  <rowBreaks count="1" manualBreakCount="1">
    <brk id="17" max="33" man="1"/>
  </rowBreaks>
  <colBreaks count="2" manualBreakCount="2">
    <brk id="13" max="48" man="1"/>
    <brk id="23" max="4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D0EAB-0843-4BDA-9E36-A3CB6B18615B}">
  <sheetPr codeName="Sheet35">
    <tabColor theme="6" tint="0.39997558519241921"/>
  </sheetPr>
  <dimension ref="A1:Z23"/>
  <sheetViews>
    <sheetView showGridLines="0" zoomScale="40" zoomScaleNormal="40" zoomScaleSheetLayoutView="70" workbookViewId="0">
      <selection activeCell="D1" sqref="D1:P1048576"/>
    </sheetView>
  </sheetViews>
  <sheetFormatPr defaultColWidth="9.28515625" defaultRowHeight="15" x14ac:dyDescent="0.25"/>
  <cols>
    <col min="1" max="1" width="3.5703125" customWidth="1"/>
    <col min="2" max="2" width="9.28515625" customWidth="1"/>
    <col min="3" max="3" width="13.5703125" customWidth="1"/>
    <col min="4" max="16" width="17.28515625" customWidth="1"/>
    <col min="17" max="18" width="3.5703125" customWidth="1"/>
    <col min="20" max="26" width="19.28515625" customWidth="1"/>
    <col min="27" max="27" width="3.5703125" customWidth="1"/>
  </cols>
  <sheetData>
    <row r="1" spans="1:26" x14ac:dyDescent="0.25">
      <c r="A1" t="s">
        <v>596</v>
      </c>
    </row>
    <row r="2" spans="1:26" ht="18" x14ac:dyDescent="0.25">
      <c r="B2" s="40" t="s">
        <v>829</v>
      </c>
      <c r="C2" s="40"/>
      <c r="D2" s="40"/>
      <c r="E2" s="40"/>
      <c r="F2" s="40"/>
      <c r="G2" s="40"/>
      <c r="H2" s="40"/>
      <c r="I2" s="40"/>
      <c r="J2" s="40"/>
      <c r="K2" s="40"/>
      <c r="L2" s="40"/>
      <c r="M2" s="40"/>
      <c r="N2" s="40"/>
      <c r="O2" s="40"/>
      <c r="P2" s="40"/>
      <c r="S2" s="40" t="s">
        <v>830</v>
      </c>
      <c r="T2" s="40"/>
      <c r="U2" s="40"/>
      <c r="V2" s="40"/>
      <c r="W2" s="40"/>
      <c r="X2" s="40"/>
      <c r="Y2" s="40"/>
      <c r="Z2" s="40"/>
    </row>
    <row r="3" spans="1:26" ht="18" x14ac:dyDescent="0.25">
      <c r="B3" s="395" t="s">
        <v>800</v>
      </c>
      <c r="C3" s="395"/>
      <c r="D3" s="395"/>
      <c r="E3" s="395"/>
      <c r="F3" s="395"/>
      <c r="G3" s="395"/>
      <c r="H3" s="395"/>
      <c r="I3" s="395"/>
      <c r="J3" s="395"/>
      <c r="K3" s="395"/>
      <c r="L3" s="395"/>
      <c r="M3" s="395"/>
      <c r="N3" s="395"/>
      <c r="O3" s="395"/>
      <c r="P3" s="395"/>
      <c r="S3" s="395" t="s">
        <v>800</v>
      </c>
      <c r="T3" s="395"/>
      <c r="U3" s="395"/>
      <c r="V3" s="395"/>
      <c r="W3" s="395"/>
      <c r="X3" s="395"/>
      <c r="Y3" s="395"/>
      <c r="Z3" s="395"/>
    </row>
    <row r="4" spans="1:26" ht="15.75" thickBot="1" x14ac:dyDescent="0.3">
      <c r="C4" s="44"/>
      <c r="D4" s="45" t="s">
        <v>831</v>
      </c>
      <c r="E4" s="44"/>
      <c r="F4" s="44"/>
      <c r="G4" s="44"/>
      <c r="H4" s="44"/>
      <c r="I4" s="530"/>
      <c r="J4" s="529" t="s">
        <v>832</v>
      </c>
      <c r="K4" s="45"/>
      <c r="L4" s="44"/>
      <c r="M4" s="44"/>
      <c r="N4" s="44"/>
      <c r="O4" s="44"/>
      <c r="P4" s="135"/>
      <c r="S4" s="45"/>
      <c r="T4" s="44"/>
      <c r="U4" s="45"/>
      <c r="V4" s="45"/>
      <c r="W4" s="44"/>
      <c r="X4" s="44"/>
      <c r="Y4" s="44"/>
      <c r="Z4" s="44"/>
    </row>
    <row r="5" spans="1:26" ht="70.900000000000006" customHeight="1" thickTop="1" thickBot="1" x14ac:dyDescent="0.3">
      <c r="B5" s="25"/>
      <c r="C5" s="30" t="s">
        <v>522</v>
      </c>
      <c r="D5" s="25" t="s">
        <v>475</v>
      </c>
      <c r="E5" s="25" t="s">
        <v>476</v>
      </c>
      <c r="F5" s="25" t="s">
        <v>477</v>
      </c>
      <c r="G5" s="25" t="s">
        <v>478</v>
      </c>
      <c r="H5" s="136" t="s">
        <v>434</v>
      </c>
      <c r="I5" s="17" t="s">
        <v>683</v>
      </c>
      <c r="J5" s="531" t="s">
        <v>475</v>
      </c>
      <c r="K5" s="25" t="s">
        <v>476</v>
      </c>
      <c r="L5" s="25" t="s">
        <v>477</v>
      </c>
      <c r="M5" s="25" t="s">
        <v>478</v>
      </c>
      <c r="N5" s="136" t="s">
        <v>434</v>
      </c>
      <c r="O5" s="25" t="s">
        <v>683</v>
      </c>
      <c r="P5" s="134" t="s">
        <v>833</v>
      </c>
      <c r="S5" s="25"/>
      <c r="T5" s="30"/>
      <c r="U5" s="25" t="s">
        <v>475</v>
      </c>
      <c r="V5" s="25" t="s">
        <v>476</v>
      </c>
      <c r="W5" s="25" t="s">
        <v>477</v>
      </c>
      <c r="X5" s="25" t="s">
        <v>478</v>
      </c>
      <c r="Y5" s="136" t="s">
        <v>434</v>
      </c>
      <c r="Z5" s="25" t="s">
        <v>683</v>
      </c>
    </row>
    <row r="6" spans="1:26" ht="35.25" customHeight="1" thickTop="1" thickBot="1" x14ac:dyDescent="0.3">
      <c r="B6" s="558" t="s">
        <v>519</v>
      </c>
      <c r="C6" s="396" t="s">
        <v>523</v>
      </c>
      <c r="D6" s="397">
        <v>0.6</v>
      </c>
      <c r="E6" s="397">
        <v>1</v>
      </c>
      <c r="F6" s="397">
        <v>1.17</v>
      </c>
      <c r="G6" s="397">
        <v>2.25</v>
      </c>
      <c r="H6" s="398">
        <v>2.5</v>
      </c>
      <c r="I6" s="399">
        <v>10</v>
      </c>
      <c r="J6" s="400">
        <v>3.5000000000000003E-2</v>
      </c>
      <c r="K6" s="401">
        <v>0.05</v>
      </c>
      <c r="L6" s="401">
        <v>5.1666666666666673E-2</v>
      </c>
      <c r="M6" s="401">
        <v>7.0000000000000007E-2</v>
      </c>
      <c r="N6" s="402" t="s">
        <v>250</v>
      </c>
      <c r="O6" s="399">
        <v>3</v>
      </c>
      <c r="P6" s="403">
        <v>13</v>
      </c>
      <c r="S6" s="558" t="s">
        <v>519</v>
      </c>
      <c r="T6" s="396" t="s">
        <v>834</v>
      </c>
      <c r="U6" s="401">
        <v>1</v>
      </c>
      <c r="V6" s="401">
        <v>1.5</v>
      </c>
      <c r="W6" s="401">
        <v>1.4375</v>
      </c>
      <c r="X6" s="401">
        <v>1.5</v>
      </c>
      <c r="Y6" s="402" t="s">
        <v>583</v>
      </c>
      <c r="Z6" s="399">
        <v>8</v>
      </c>
    </row>
    <row r="7" spans="1:26" ht="35.25" customHeight="1" thickBot="1" x14ac:dyDescent="0.3">
      <c r="B7" s="559"/>
      <c r="C7" s="404" t="s">
        <v>524</v>
      </c>
      <c r="D7" s="405">
        <v>0.4</v>
      </c>
      <c r="E7" s="405">
        <v>1</v>
      </c>
      <c r="F7" s="405">
        <v>1.2454545454545456</v>
      </c>
      <c r="G7" s="405">
        <v>2.5</v>
      </c>
      <c r="H7" s="406">
        <v>2.5</v>
      </c>
      <c r="I7" s="309">
        <v>11</v>
      </c>
      <c r="J7" s="407">
        <v>0.05</v>
      </c>
      <c r="K7" s="408">
        <v>0.06</v>
      </c>
      <c r="L7" s="408">
        <v>6.8000000000000005E-2</v>
      </c>
      <c r="M7" s="408">
        <v>0.1</v>
      </c>
      <c r="N7" s="409" t="s">
        <v>250</v>
      </c>
      <c r="O7" s="309">
        <v>5</v>
      </c>
      <c r="P7" s="410">
        <v>16</v>
      </c>
      <c r="S7" s="559"/>
      <c r="T7" s="404" t="s">
        <v>835</v>
      </c>
      <c r="U7" s="411">
        <v>0</v>
      </c>
      <c r="V7" s="411">
        <v>2</v>
      </c>
      <c r="W7" s="411">
        <v>2.2307692307692308</v>
      </c>
      <c r="X7" s="411">
        <v>4</v>
      </c>
      <c r="Y7" s="412">
        <v>3</v>
      </c>
      <c r="Z7" s="309">
        <v>13</v>
      </c>
    </row>
    <row r="8" spans="1:26" ht="35.25" customHeight="1" thickBot="1" x14ac:dyDescent="0.3">
      <c r="B8" s="560"/>
      <c r="C8" s="404" t="s">
        <v>525</v>
      </c>
      <c r="D8" s="405">
        <v>1</v>
      </c>
      <c r="E8" s="405">
        <v>1.25</v>
      </c>
      <c r="F8" s="405">
        <v>1.25</v>
      </c>
      <c r="G8" s="405">
        <v>1.5</v>
      </c>
      <c r="H8" s="406" t="s">
        <v>250</v>
      </c>
      <c r="I8" s="309">
        <v>2</v>
      </c>
      <c r="J8" s="407">
        <v>0.3</v>
      </c>
      <c r="K8" s="408">
        <v>0.3</v>
      </c>
      <c r="L8" s="408">
        <v>0.3</v>
      </c>
      <c r="M8" s="408">
        <v>0.3</v>
      </c>
      <c r="N8" s="409" t="s">
        <v>250</v>
      </c>
      <c r="O8" s="309">
        <v>1</v>
      </c>
      <c r="P8" s="410">
        <v>3</v>
      </c>
      <c r="S8" s="560"/>
      <c r="T8" s="404" t="s">
        <v>836</v>
      </c>
      <c r="U8" s="405">
        <v>0</v>
      </c>
      <c r="V8" s="405">
        <v>1.875</v>
      </c>
      <c r="W8" s="405">
        <v>1.6187499999999999</v>
      </c>
      <c r="X8" s="405">
        <v>3.3</v>
      </c>
      <c r="Y8" s="406" t="s">
        <v>250</v>
      </c>
      <c r="Z8" s="309">
        <v>8</v>
      </c>
    </row>
    <row r="9" spans="1:26" ht="35.25" customHeight="1" thickBot="1" x14ac:dyDescent="0.3">
      <c r="B9" s="555" t="s">
        <v>837</v>
      </c>
      <c r="C9" s="404" t="s">
        <v>523</v>
      </c>
      <c r="D9" s="405">
        <v>0.6</v>
      </c>
      <c r="E9" s="405">
        <v>1</v>
      </c>
      <c r="F9" s="405">
        <v>1.17</v>
      </c>
      <c r="G9" s="405">
        <v>2.25</v>
      </c>
      <c r="H9" s="406">
        <v>2.5</v>
      </c>
      <c r="I9" s="309">
        <v>10</v>
      </c>
      <c r="J9" s="407" t="s">
        <v>675</v>
      </c>
      <c r="K9" s="408" t="s">
        <v>675</v>
      </c>
      <c r="L9" s="408" t="s">
        <v>675</v>
      </c>
      <c r="M9" s="408" t="s">
        <v>675</v>
      </c>
      <c r="N9" s="409" t="s">
        <v>250</v>
      </c>
      <c r="O9" s="309">
        <v>3</v>
      </c>
      <c r="P9" s="410">
        <v>13</v>
      </c>
      <c r="S9" s="555" t="s">
        <v>837</v>
      </c>
      <c r="T9" s="404" t="s">
        <v>834</v>
      </c>
      <c r="U9" s="408">
        <v>1</v>
      </c>
      <c r="V9" s="408">
        <v>1.5</v>
      </c>
      <c r="W9" s="408">
        <v>1.4375</v>
      </c>
      <c r="X9" s="408">
        <v>1.5</v>
      </c>
      <c r="Y9" s="409" t="s">
        <v>583</v>
      </c>
      <c r="Z9" s="309">
        <v>8</v>
      </c>
    </row>
    <row r="10" spans="1:26" ht="35.25" customHeight="1" thickBot="1" x14ac:dyDescent="0.3">
      <c r="B10" s="556"/>
      <c r="C10" s="404" t="s">
        <v>524</v>
      </c>
      <c r="D10" s="405">
        <v>0.4</v>
      </c>
      <c r="E10" s="405">
        <v>1</v>
      </c>
      <c r="F10" s="405">
        <v>1.2454545454545456</v>
      </c>
      <c r="G10" s="405">
        <v>2.5</v>
      </c>
      <c r="H10" s="406">
        <v>2.5</v>
      </c>
      <c r="I10" s="309">
        <v>11</v>
      </c>
      <c r="J10" s="407">
        <v>0.05</v>
      </c>
      <c r="K10" s="408">
        <v>0.06</v>
      </c>
      <c r="L10" s="408">
        <v>6.8000000000000005E-2</v>
      </c>
      <c r="M10" s="408">
        <v>0.1</v>
      </c>
      <c r="N10" s="409" t="s">
        <v>250</v>
      </c>
      <c r="O10" s="309">
        <v>5</v>
      </c>
      <c r="P10" s="410">
        <v>16</v>
      </c>
      <c r="S10" s="556"/>
      <c r="T10" s="404" t="s">
        <v>835</v>
      </c>
      <c r="U10" s="411">
        <v>2</v>
      </c>
      <c r="V10" s="411">
        <v>2.5</v>
      </c>
      <c r="W10" s="411">
        <v>2.9</v>
      </c>
      <c r="X10" s="411">
        <v>4</v>
      </c>
      <c r="Y10" s="412">
        <v>3</v>
      </c>
      <c r="Z10" s="309">
        <v>10</v>
      </c>
    </row>
    <row r="11" spans="1:26" ht="35.25" customHeight="1" thickBot="1" x14ac:dyDescent="0.3">
      <c r="B11" s="557"/>
      <c r="C11" s="404" t="s">
        <v>525</v>
      </c>
      <c r="D11" s="405" t="s">
        <v>675</v>
      </c>
      <c r="E11" s="405" t="s">
        <v>675</v>
      </c>
      <c r="F11" s="405" t="s">
        <v>675</v>
      </c>
      <c r="G11" s="405" t="s">
        <v>675</v>
      </c>
      <c r="H11" s="406" t="s">
        <v>250</v>
      </c>
      <c r="I11" s="309">
        <v>2</v>
      </c>
      <c r="J11" s="407" t="s">
        <v>675</v>
      </c>
      <c r="K11" s="408" t="s">
        <v>675</v>
      </c>
      <c r="L11" s="408" t="s">
        <v>675</v>
      </c>
      <c r="M11" s="408" t="s">
        <v>675</v>
      </c>
      <c r="N11" s="409" t="s">
        <v>250</v>
      </c>
      <c r="O11" s="309">
        <v>1</v>
      </c>
      <c r="P11" s="410">
        <v>3</v>
      </c>
      <c r="S11" s="557"/>
      <c r="T11" s="404" t="s">
        <v>836</v>
      </c>
      <c r="U11" s="405" t="s">
        <v>675</v>
      </c>
      <c r="V11" s="405" t="s">
        <v>675</v>
      </c>
      <c r="W11" s="405" t="s">
        <v>675</v>
      </c>
      <c r="X11" s="405" t="s">
        <v>675</v>
      </c>
      <c r="Y11" s="409">
        <v>7.0000000000000007E-2</v>
      </c>
      <c r="Z11" s="309">
        <v>2</v>
      </c>
    </row>
    <row r="13" spans="1:26" ht="9" customHeight="1" x14ac:dyDescent="0.25"/>
    <row r="14" spans="1:26" ht="18" x14ac:dyDescent="0.25">
      <c r="B14" s="40" t="s">
        <v>829</v>
      </c>
      <c r="C14" s="32"/>
      <c r="D14" s="32"/>
      <c r="E14" s="32"/>
      <c r="F14" s="32"/>
      <c r="G14" s="32"/>
      <c r="H14" s="32"/>
      <c r="I14" s="32"/>
      <c r="J14" s="32"/>
      <c r="K14" s="32"/>
      <c r="L14" s="32"/>
      <c r="M14" s="32"/>
      <c r="N14" s="32"/>
      <c r="O14" s="32"/>
      <c r="P14" s="32"/>
      <c r="S14" s="40" t="s">
        <v>830</v>
      </c>
      <c r="T14" s="32"/>
      <c r="U14" s="32"/>
      <c r="V14" s="32"/>
      <c r="W14" s="32"/>
      <c r="X14" s="32"/>
      <c r="Y14" s="32"/>
      <c r="Z14" s="32"/>
    </row>
    <row r="15" spans="1:26" ht="18" x14ac:dyDescent="0.25">
      <c r="B15" s="395" t="s">
        <v>516</v>
      </c>
      <c r="C15" s="413"/>
      <c r="D15" s="413"/>
      <c r="E15" s="413"/>
      <c r="F15" s="413"/>
      <c r="G15" s="413"/>
      <c r="H15" s="413"/>
      <c r="I15" s="413"/>
      <c r="J15" s="413"/>
      <c r="K15" s="413"/>
      <c r="L15" s="413"/>
      <c r="M15" s="413"/>
      <c r="N15" s="413"/>
      <c r="O15" s="413"/>
      <c r="P15" s="413"/>
      <c r="S15" s="395" t="s">
        <v>516</v>
      </c>
      <c r="T15" s="413"/>
      <c r="U15" s="413"/>
      <c r="V15" s="413"/>
      <c r="W15" s="413"/>
      <c r="X15" s="413"/>
      <c r="Y15" s="413"/>
      <c r="Z15" s="413"/>
    </row>
    <row r="16" spans="1:26" ht="15.75" thickBot="1" x14ac:dyDescent="0.3">
      <c r="C16" s="44"/>
      <c r="D16" s="45" t="s">
        <v>831</v>
      </c>
      <c r="E16" s="44"/>
      <c r="F16" s="44"/>
      <c r="G16" s="44"/>
      <c r="H16" s="44"/>
      <c r="I16" s="530"/>
      <c r="J16" s="529" t="s">
        <v>832</v>
      </c>
      <c r="K16" s="45"/>
      <c r="L16" s="44"/>
      <c r="M16" s="44"/>
      <c r="N16" s="44"/>
      <c r="O16" s="44"/>
      <c r="P16" s="135"/>
      <c r="S16" s="45"/>
      <c r="T16" s="44"/>
      <c r="U16" s="529" t="s">
        <v>832</v>
      </c>
      <c r="V16" s="45"/>
      <c r="W16" s="44"/>
      <c r="X16" s="44"/>
      <c r="Y16" s="44"/>
      <c r="Z16" s="44"/>
    </row>
    <row r="17" spans="2:26" ht="61.9" customHeight="1" thickTop="1" thickBot="1" x14ac:dyDescent="0.3">
      <c r="B17" s="25"/>
      <c r="C17" s="30" t="s">
        <v>522</v>
      </c>
      <c r="D17" s="25" t="s">
        <v>475</v>
      </c>
      <c r="E17" s="25" t="s">
        <v>476</v>
      </c>
      <c r="F17" s="25" t="s">
        <v>477</v>
      </c>
      <c r="G17" s="25" t="s">
        <v>478</v>
      </c>
      <c r="H17" s="136" t="s">
        <v>434</v>
      </c>
      <c r="I17" s="17" t="s">
        <v>683</v>
      </c>
      <c r="J17" s="17" t="s">
        <v>475</v>
      </c>
      <c r="K17" s="25" t="s">
        <v>476</v>
      </c>
      <c r="L17" s="25" t="s">
        <v>477</v>
      </c>
      <c r="M17" s="25" t="s">
        <v>478</v>
      </c>
      <c r="N17" s="136" t="s">
        <v>434</v>
      </c>
      <c r="O17" s="25" t="s">
        <v>683</v>
      </c>
      <c r="P17" s="134" t="s">
        <v>833</v>
      </c>
      <c r="S17" s="25"/>
      <c r="T17" s="30"/>
      <c r="U17" s="17" t="s">
        <v>475</v>
      </c>
      <c r="V17" s="25" t="s">
        <v>476</v>
      </c>
      <c r="W17" s="25" t="s">
        <v>477</v>
      </c>
      <c r="X17" s="25" t="s">
        <v>478</v>
      </c>
      <c r="Y17" s="136" t="s">
        <v>434</v>
      </c>
      <c r="Z17" s="25" t="s">
        <v>683</v>
      </c>
    </row>
    <row r="18" spans="2:26" ht="35.25" customHeight="1" thickTop="1" thickBot="1" x14ac:dyDescent="0.3">
      <c r="B18" s="558" t="s">
        <v>519</v>
      </c>
      <c r="C18" s="396" t="s">
        <v>523</v>
      </c>
      <c r="D18" s="397">
        <v>0.05</v>
      </c>
      <c r="E18" s="397">
        <v>0.75</v>
      </c>
      <c r="F18" s="397">
        <v>0.85833333333333328</v>
      </c>
      <c r="G18" s="397">
        <v>1.5</v>
      </c>
      <c r="H18" s="398">
        <v>2.5</v>
      </c>
      <c r="I18" s="399">
        <v>6</v>
      </c>
      <c r="J18" s="401">
        <v>0.05</v>
      </c>
      <c r="K18" s="401">
        <v>6.25E-2</v>
      </c>
      <c r="L18" s="401">
        <v>6.25E-2</v>
      </c>
      <c r="M18" s="401">
        <v>7.4999999999999997E-2</v>
      </c>
      <c r="N18" s="402" t="s">
        <v>250</v>
      </c>
      <c r="O18" s="399">
        <v>2</v>
      </c>
      <c r="P18" s="403">
        <v>8</v>
      </c>
      <c r="S18" s="558" t="s">
        <v>519</v>
      </c>
      <c r="T18" s="396" t="s">
        <v>834</v>
      </c>
      <c r="U18" s="401">
        <v>1.5</v>
      </c>
      <c r="V18" s="401">
        <v>1.5</v>
      </c>
      <c r="W18" s="401">
        <v>1.5</v>
      </c>
      <c r="X18" s="401">
        <v>1.5</v>
      </c>
      <c r="Y18" s="402" t="s">
        <v>583</v>
      </c>
      <c r="Z18" s="399">
        <v>2</v>
      </c>
    </row>
    <row r="19" spans="2:26" ht="35.25" customHeight="1" thickBot="1" x14ac:dyDescent="0.3">
      <c r="B19" s="559"/>
      <c r="C19" s="404" t="s">
        <v>524</v>
      </c>
      <c r="D19" s="405">
        <v>0.05</v>
      </c>
      <c r="E19" s="405">
        <v>1.2</v>
      </c>
      <c r="F19" s="405">
        <v>0.98000000000000009</v>
      </c>
      <c r="G19" s="405">
        <v>1.5</v>
      </c>
      <c r="H19" s="406">
        <v>2.5</v>
      </c>
      <c r="I19" s="309">
        <v>5</v>
      </c>
      <c r="J19" s="408">
        <v>0.05</v>
      </c>
      <c r="K19" s="408">
        <v>9.5000000000000001E-2</v>
      </c>
      <c r="L19" s="408">
        <v>9.5000000000000001E-2</v>
      </c>
      <c r="M19" s="408">
        <v>0.14000000000000001</v>
      </c>
      <c r="N19" s="409" t="s">
        <v>250</v>
      </c>
      <c r="O19" s="309">
        <v>2</v>
      </c>
      <c r="P19" s="410">
        <v>7</v>
      </c>
      <c r="S19" s="559"/>
      <c r="T19" s="404" t="s">
        <v>835</v>
      </c>
      <c r="U19" s="411">
        <v>0</v>
      </c>
      <c r="V19" s="411">
        <v>0</v>
      </c>
      <c r="W19" s="411">
        <v>0.42857142857142855</v>
      </c>
      <c r="X19" s="411">
        <v>2</v>
      </c>
      <c r="Y19" s="412">
        <v>2</v>
      </c>
      <c r="Z19" s="309">
        <v>14</v>
      </c>
    </row>
    <row r="20" spans="2:26" ht="35.25" customHeight="1" thickTop="1" thickBot="1" x14ac:dyDescent="0.3">
      <c r="B20" s="560"/>
      <c r="C20" s="404" t="s">
        <v>525</v>
      </c>
      <c r="D20" s="405">
        <v>0.05</v>
      </c>
      <c r="E20" s="405">
        <v>1.5</v>
      </c>
      <c r="F20" s="405">
        <v>1.1166666666666667</v>
      </c>
      <c r="G20" s="405">
        <v>1.8</v>
      </c>
      <c r="H20" s="406" t="s">
        <v>250</v>
      </c>
      <c r="I20" s="309">
        <v>3</v>
      </c>
      <c r="J20" s="408">
        <v>0.2</v>
      </c>
      <c r="K20" s="408">
        <v>0.2</v>
      </c>
      <c r="L20" s="408">
        <v>0.2</v>
      </c>
      <c r="M20" s="408">
        <v>0.2</v>
      </c>
      <c r="N20" s="409" t="s">
        <v>250</v>
      </c>
      <c r="O20" s="309">
        <v>1</v>
      </c>
      <c r="P20" s="410">
        <v>4</v>
      </c>
      <c r="S20" s="560"/>
      <c r="T20" s="404" t="s">
        <v>836</v>
      </c>
      <c r="U20" s="405">
        <v>0</v>
      </c>
      <c r="V20" s="405">
        <v>0</v>
      </c>
      <c r="W20" s="405">
        <v>0.25</v>
      </c>
      <c r="X20" s="405">
        <v>2</v>
      </c>
      <c r="Y20" s="402" t="s">
        <v>583</v>
      </c>
      <c r="Z20" s="309">
        <v>12</v>
      </c>
    </row>
    <row r="21" spans="2:26" ht="35.25" customHeight="1" thickBot="1" x14ac:dyDescent="0.3">
      <c r="B21" s="555" t="s">
        <v>837</v>
      </c>
      <c r="C21" s="404" t="s">
        <v>523</v>
      </c>
      <c r="D21" s="405">
        <v>0.05</v>
      </c>
      <c r="E21" s="405">
        <v>0.75</v>
      </c>
      <c r="F21" s="405">
        <v>0.85833333333333328</v>
      </c>
      <c r="G21" s="405">
        <v>1.5</v>
      </c>
      <c r="H21" s="406">
        <v>2.5</v>
      </c>
      <c r="I21" s="309">
        <v>6</v>
      </c>
      <c r="J21" s="408" t="s">
        <v>675</v>
      </c>
      <c r="K21" s="408" t="s">
        <v>675</v>
      </c>
      <c r="L21" s="408" t="s">
        <v>675</v>
      </c>
      <c r="M21" s="408" t="s">
        <v>675</v>
      </c>
      <c r="N21" s="409" t="s">
        <v>250</v>
      </c>
      <c r="O21" s="309">
        <v>2</v>
      </c>
      <c r="P21" s="410">
        <v>8</v>
      </c>
      <c r="S21" s="555" t="s">
        <v>837</v>
      </c>
      <c r="T21" s="404" t="s">
        <v>834</v>
      </c>
      <c r="U21" s="408" t="s">
        <v>675</v>
      </c>
      <c r="V21" s="408" t="s">
        <v>675</v>
      </c>
      <c r="W21" s="408" t="s">
        <v>675</v>
      </c>
      <c r="X21" s="408" t="s">
        <v>675</v>
      </c>
      <c r="Y21" s="409" t="s">
        <v>583</v>
      </c>
      <c r="Z21" s="309">
        <v>2</v>
      </c>
    </row>
    <row r="22" spans="2:26" ht="35.25" customHeight="1" thickBot="1" x14ac:dyDescent="0.3">
      <c r="B22" s="556"/>
      <c r="C22" s="404" t="s">
        <v>524</v>
      </c>
      <c r="D22" s="405">
        <v>0.05</v>
      </c>
      <c r="E22" s="405">
        <v>1.2</v>
      </c>
      <c r="F22" s="405">
        <v>0.98000000000000009</v>
      </c>
      <c r="G22" s="405">
        <v>1.5</v>
      </c>
      <c r="H22" s="406">
        <v>2.5</v>
      </c>
      <c r="I22" s="309">
        <v>5</v>
      </c>
      <c r="J22" s="408" t="s">
        <v>675</v>
      </c>
      <c r="K22" s="408" t="s">
        <v>675</v>
      </c>
      <c r="L22" s="408" t="s">
        <v>675</v>
      </c>
      <c r="M22" s="408" t="s">
        <v>675</v>
      </c>
      <c r="N22" s="409" t="s">
        <v>250</v>
      </c>
      <c r="O22" s="309">
        <v>2</v>
      </c>
      <c r="P22" s="410">
        <v>7</v>
      </c>
      <c r="S22" s="556"/>
      <c r="T22" s="404" t="s">
        <v>835</v>
      </c>
      <c r="U22" s="411" t="s">
        <v>675</v>
      </c>
      <c r="V22" s="411" t="s">
        <v>675</v>
      </c>
      <c r="W22" s="411" t="s">
        <v>675</v>
      </c>
      <c r="X22" s="411" t="s">
        <v>675</v>
      </c>
      <c r="Y22" s="412">
        <v>2</v>
      </c>
      <c r="Z22" s="309">
        <v>3</v>
      </c>
    </row>
    <row r="23" spans="2:26" ht="35.25" customHeight="1" thickBot="1" x14ac:dyDescent="0.3">
      <c r="B23" s="557"/>
      <c r="C23" s="404" t="s">
        <v>525</v>
      </c>
      <c r="D23" s="405" t="s">
        <v>675</v>
      </c>
      <c r="E23" s="405" t="s">
        <v>675</v>
      </c>
      <c r="F23" s="405" t="s">
        <v>675</v>
      </c>
      <c r="G23" s="405" t="s">
        <v>675</v>
      </c>
      <c r="H23" s="406" t="s">
        <v>250</v>
      </c>
      <c r="I23" s="309">
        <v>3</v>
      </c>
      <c r="J23" s="408" t="s">
        <v>675</v>
      </c>
      <c r="K23" s="408" t="s">
        <v>675</v>
      </c>
      <c r="L23" s="408" t="s">
        <v>675</v>
      </c>
      <c r="M23" s="408" t="s">
        <v>675</v>
      </c>
      <c r="N23" s="409" t="s">
        <v>250</v>
      </c>
      <c r="O23" s="309">
        <v>1</v>
      </c>
      <c r="P23" s="410">
        <v>4</v>
      </c>
      <c r="S23" s="557"/>
      <c r="T23" s="404" t="s">
        <v>836</v>
      </c>
      <c r="U23" s="408" t="s">
        <v>675</v>
      </c>
      <c r="V23" s="408" t="s">
        <v>675</v>
      </c>
      <c r="W23" s="408" t="s">
        <v>675</v>
      </c>
      <c r="X23" s="408" t="s">
        <v>675</v>
      </c>
      <c r="Y23" s="409">
        <v>7.0000000000000007E-2</v>
      </c>
      <c r="Z23" s="309">
        <v>2</v>
      </c>
    </row>
  </sheetData>
  <mergeCells count="8">
    <mergeCell ref="B21:B23"/>
    <mergeCell ref="S21:S23"/>
    <mergeCell ref="B6:B8"/>
    <mergeCell ref="S6:S8"/>
    <mergeCell ref="B9:B11"/>
    <mergeCell ref="S9:S11"/>
    <mergeCell ref="B18:B20"/>
    <mergeCell ref="S18:S20"/>
  </mergeCells>
  <printOptions horizontalCentered="1" verticalCentered="1"/>
  <pageMargins left="0.7" right="0.7" top="0.75" bottom="0.75" header="0.3" footer="0.3"/>
  <pageSetup scale="83" orientation="landscape" verticalDpi="1200" r:id="rId1"/>
  <rowBreaks count="1" manualBreakCount="1">
    <brk id="12" max="23" man="1"/>
  </rowBreaks>
  <colBreaks count="1" manualBreakCount="1">
    <brk id="17"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F8C6B-AF2E-43D2-B3CB-F6E622419787}">
  <sheetPr codeName="Sheet36">
    <tabColor theme="6" tint="0.39997558519241921"/>
  </sheetPr>
  <dimension ref="A1:X48"/>
  <sheetViews>
    <sheetView showGridLines="0" zoomScale="55" zoomScaleNormal="55" zoomScaleSheetLayoutView="55" workbookViewId="0">
      <selection activeCell="A3" sqref="A3:XFD3"/>
    </sheetView>
  </sheetViews>
  <sheetFormatPr defaultColWidth="9.28515625" defaultRowHeight="15" x14ac:dyDescent="0.25"/>
  <cols>
    <col min="2" max="2" width="37.7109375" customWidth="1"/>
    <col min="3" max="3" width="30.28515625" customWidth="1"/>
    <col min="4" max="5" width="22.5703125" customWidth="1"/>
    <col min="7" max="7" width="9.28515625" customWidth="1"/>
    <col min="8" max="8" width="26.7109375" customWidth="1"/>
    <col min="9" max="10" width="11" customWidth="1"/>
    <col min="11" max="11" width="3.7109375" hidden="1" customWidth="1"/>
    <col min="12" max="12" width="11" customWidth="1"/>
    <col min="13" max="13" width="18.7109375" customWidth="1"/>
    <col min="16" max="16" width="37.7109375" customWidth="1"/>
    <col min="17" max="19" width="14.7109375" customWidth="1"/>
    <col min="21" max="23" width="10.5703125" style="137" customWidth="1"/>
    <col min="24" max="24" width="9.28515625" style="137"/>
  </cols>
  <sheetData>
    <row r="1" spans="1:23" x14ac:dyDescent="0.25">
      <c r="C1" s="35" t="s">
        <v>605</v>
      </c>
      <c r="D1" s="35" t="s">
        <v>606</v>
      </c>
      <c r="E1" s="35" t="s">
        <v>607</v>
      </c>
      <c r="Q1" s="49" t="s">
        <v>46</v>
      </c>
      <c r="R1" s="49" t="s">
        <v>18</v>
      </c>
    </row>
    <row r="2" spans="1:23" ht="18.600000000000001" customHeight="1" thickBot="1" x14ac:dyDescent="0.3">
      <c r="B2" s="39" t="s">
        <v>838</v>
      </c>
      <c r="C2" s="39"/>
      <c r="D2" s="39"/>
      <c r="E2" s="39"/>
      <c r="H2" s="40" t="s">
        <v>839</v>
      </c>
      <c r="I2" s="40"/>
      <c r="J2" s="40"/>
      <c r="K2" s="40"/>
      <c r="L2" s="40"/>
      <c r="M2" s="40"/>
      <c r="P2" s="54" t="s">
        <v>840</v>
      </c>
      <c r="Q2" s="54"/>
      <c r="R2" s="54"/>
      <c r="S2" s="54"/>
    </row>
    <row r="3" spans="1:23" ht="60" customHeight="1" thickBot="1" x14ac:dyDescent="0.3">
      <c r="B3" s="39" t="s">
        <v>841</v>
      </c>
      <c r="C3" s="39"/>
      <c r="D3" s="39"/>
      <c r="E3" s="39"/>
      <c r="H3" s="40" t="s">
        <v>842</v>
      </c>
      <c r="I3" s="40"/>
      <c r="J3" s="40"/>
      <c r="K3" s="40"/>
      <c r="L3" s="40"/>
      <c r="M3" s="40"/>
      <c r="P3" s="414" t="s">
        <v>526</v>
      </c>
      <c r="Q3" s="415" t="s">
        <v>46</v>
      </c>
      <c r="R3" s="415" t="s">
        <v>18</v>
      </c>
      <c r="S3" s="415" t="s">
        <v>519</v>
      </c>
      <c r="U3" s="138" t="s">
        <v>245</v>
      </c>
      <c r="V3" s="138" t="s">
        <v>620</v>
      </c>
      <c r="W3" s="138" t="s">
        <v>636</v>
      </c>
    </row>
    <row r="4" spans="1:23" ht="33" thickTop="1" thickBot="1" x14ac:dyDescent="0.3">
      <c r="H4" s="563" t="s">
        <v>19</v>
      </c>
      <c r="I4" s="565" t="s">
        <v>479</v>
      </c>
      <c r="J4" s="565"/>
      <c r="K4" s="348"/>
      <c r="L4" s="565" t="s">
        <v>511</v>
      </c>
      <c r="M4" s="565"/>
      <c r="O4" s="48" t="s">
        <v>448</v>
      </c>
      <c r="P4" s="416" t="s">
        <v>527</v>
      </c>
      <c r="Q4" s="417">
        <v>0.53125</v>
      </c>
      <c r="R4" s="417">
        <v>0.46666666666666667</v>
      </c>
      <c r="S4" s="418">
        <v>0.51063829787234039</v>
      </c>
      <c r="U4" s="139" t="s">
        <v>533</v>
      </c>
      <c r="V4" s="139" t="s">
        <v>631</v>
      </c>
      <c r="W4" s="140">
        <v>2.1276595744680851E-2</v>
      </c>
    </row>
    <row r="5" spans="1:23" ht="32.25" thickBot="1" x14ac:dyDescent="0.3">
      <c r="B5" s="414" t="s">
        <v>843</v>
      </c>
      <c r="C5" s="415" t="s">
        <v>800</v>
      </c>
      <c r="D5" s="415" t="s">
        <v>844</v>
      </c>
      <c r="E5" s="415" t="s">
        <v>845</v>
      </c>
      <c r="H5" s="564"/>
      <c r="I5" s="419" t="s">
        <v>472</v>
      </c>
      <c r="J5" s="419" t="s">
        <v>469</v>
      </c>
      <c r="K5" s="348"/>
      <c r="L5" s="419" t="s">
        <v>472</v>
      </c>
      <c r="M5" s="419" t="s">
        <v>469</v>
      </c>
      <c r="O5" s="48" t="s">
        <v>445</v>
      </c>
      <c r="P5" s="420" t="s">
        <v>528</v>
      </c>
      <c r="Q5" s="421">
        <v>0.46875</v>
      </c>
      <c r="R5" s="421">
        <v>0.2</v>
      </c>
      <c r="S5" s="422">
        <v>0.38297872340425532</v>
      </c>
      <c r="U5" s="139" t="s">
        <v>537</v>
      </c>
      <c r="V5" s="139" t="s">
        <v>633</v>
      </c>
      <c r="W5" s="140">
        <v>4.2553191489361701E-2</v>
      </c>
    </row>
    <row r="6" spans="1:23" ht="48.75" customHeight="1" thickTop="1" thickBot="1" x14ac:dyDescent="0.3">
      <c r="A6" s="48" t="s">
        <v>608</v>
      </c>
      <c r="B6" s="423" t="s">
        <v>529</v>
      </c>
      <c r="C6" s="424">
        <v>0.10638297872340426</v>
      </c>
      <c r="D6" s="424">
        <v>0.27659574468085107</v>
      </c>
      <c r="E6" s="424">
        <v>0.2978723404255319</v>
      </c>
      <c r="G6" s="48" t="s">
        <v>46</v>
      </c>
      <c r="H6" s="425" t="s">
        <v>903</v>
      </c>
      <c r="I6" s="426">
        <v>11</v>
      </c>
      <c r="J6" s="426">
        <v>12</v>
      </c>
      <c r="K6" s="427"/>
      <c r="L6" s="378">
        <v>0.47826086956521741</v>
      </c>
      <c r="M6" s="378">
        <v>0.52173913043478259</v>
      </c>
      <c r="O6" s="48" t="s">
        <v>446</v>
      </c>
      <c r="P6" s="416" t="s">
        <v>530</v>
      </c>
      <c r="Q6" s="417">
        <v>0.21875</v>
      </c>
      <c r="R6" s="417">
        <v>0.26666666666666666</v>
      </c>
      <c r="S6" s="418">
        <v>0.23404255319148937</v>
      </c>
      <c r="U6" s="139" t="s">
        <v>539</v>
      </c>
      <c r="V6" s="139" t="s">
        <v>634</v>
      </c>
      <c r="W6" s="140">
        <v>6.3829787234042548E-2</v>
      </c>
    </row>
    <row r="7" spans="1:23" ht="48.75" customHeight="1" thickBot="1" x14ac:dyDescent="0.3">
      <c r="A7" s="48" t="s">
        <v>609</v>
      </c>
      <c r="B7" s="428" t="s">
        <v>531</v>
      </c>
      <c r="C7" s="429">
        <v>2.1276595744680851E-2</v>
      </c>
      <c r="D7" s="429">
        <v>6.3829787234042548E-2</v>
      </c>
      <c r="E7" s="429">
        <v>6.3829787234042548E-2</v>
      </c>
      <c r="G7" s="48" t="s">
        <v>18</v>
      </c>
      <c r="H7" s="430" t="s">
        <v>904</v>
      </c>
      <c r="I7" s="431">
        <v>2</v>
      </c>
      <c r="J7" s="431">
        <v>6</v>
      </c>
      <c r="K7" s="427"/>
      <c r="L7" s="432">
        <v>0.25</v>
      </c>
      <c r="M7" s="432">
        <v>0.75</v>
      </c>
      <c r="O7" s="48" t="s">
        <v>447</v>
      </c>
      <c r="P7" s="433" t="s">
        <v>532</v>
      </c>
      <c r="Q7" s="434">
        <v>0.375</v>
      </c>
      <c r="R7" s="434">
        <v>0.4</v>
      </c>
      <c r="S7" s="435">
        <v>0.38297872340425532</v>
      </c>
      <c r="U7" s="139" t="s">
        <v>531</v>
      </c>
      <c r="V7" s="139" t="s">
        <v>630</v>
      </c>
      <c r="W7" s="140">
        <v>6.3829787234042548E-2</v>
      </c>
    </row>
    <row r="8" spans="1:23" ht="48.75" customHeight="1" thickBot="1" x14ac:dyDescent="0.3">
      <c r="A8" s="48" t="s">
        <v>610</v>
      </c>
      <c r="B8" s="436" t="s">
        <v>533</v>
      </c>
      <c r="C8" s="437">
        <v>2.1276595744680851E-2</v>
      </c>
      <c r="D8" s="437">
        <v>4.2553191489361701E-2</v>
      </c>
      <c r="E8" s="437">
        <v>2.1276595744680851E-2</v>
      </c>
      <c r="H8" s="362" t="s">
        <v>905</v>
      </c>
      <c r="I8" s="438">
        <v>13</v>
      </c>
      <c r="J8" s="438">
        <v>18</v>
      </c>
      <c r="K8" s="439"/>
      <c r="L8" s="440">
        <v>0.41935483870967744</v>
      </c>
      <c r="M8" s="440">
        <v>0.58064516129032262</v>
      </c>
      <c r="O8" s="48" t="s">
        <v>443</v>
      </c>
      <c r="P8" s="416" t="s">
        <v>534</v>
      </c>
      <c r="Q8" s="417">
        <v>0.25</v>
      </c>
      <c r="R8" s="417">
        <v>0.2</v>
      </c>
      <c r="S8" s="418">
        <v>0.23404255319148937</v>
      </c>
      <c r="U8" s="139" t="s">
        <v>535</v>
      </c>
      <c r="V8" s="139" t="s">
        <v>632</v>
      </c>
      <c r="W8" s="140">
        <v>0.10638297872340426</v>
      </c>
    </row>
    <row r="9" spans="1:23" ht="83.45" customHeight="1" thickTop="1" thickBot="1" x14ac:dyDescent="0.3">
      <c r="A9" s="48" t="s">
        <v>611</v>
      </c>
      <c r="B9" s="428" t="s">
        <v>535</v>
      </c>
      <c r="C9" s="429">
        <v>8.5106382978723402E-2</v>
      </c>
      <c r="D9" s="429">
        <v>0.1276595744680851</v>
      </c>
      <c r="E9" s="429">
        <v>0.10638297872340426</v>
      </c>
      <c r="H9" s="441" t="s">
        <v>48</v>
      </c>
      <c r="I9" s="566" t="s">
        <v>846</v>
      </c>
      <c r="J9" s="566"/>
      <c r="K9" s="566"/>
      <c r="L9" s="566"/>
      <c r="M9" s="566"/>
      <c r="O9" s="48" t="s">
        <v>444</v>
      </c>
      <c r="P9" s="420" t="s">
        <v>536</v>
      </c>
      <c r="Q9" s="421">
        <v>0.4375</v>
      </c>
      <c r="R9" s="421">
        <v>0.2</v>
      </c>
      <c r="S9" s="422">
        <v>0.36170212765957449</v>
      </c>
      <c r="U9" s="139" t="s">
        <v>541</v>
      </c>
      <c r="V9" s="139" t="s">
        <v>635</v>
      </c>
      <c r="W9" s="140">
        <v>0.1276595744680851</v>
      </c>
    </row>
    <row r="10" spans="1:23" ht="48.75" customHeight="1" thickBot="1" x14ac:dyDescent="0.3">
      <c r="A10" s="48" t="s">
        <v>612</v>
      </c>
      <c r="B10" s="436" t="s">
        <v>537</v>
      </c>
      <c r="C10" s="437">
        <v>2.1276595744680851E-2</v>
      </c>
      <c r="D10" s="437">
        <v>4.2553191489361701E-2</v>
      </c>
      <c r="E10" s="437">
        <v>4.2553191489361701E-2</v>
      </c>
      <c r="H10" s="567"/>
      <c r="I10" s="567"/>
      <c r="J10" s="567"/>
      <c r="O10" s="48" t="s">
        <v>449</v>
      </c>
      <c r="P10" s="416" t="s">
        <v>538</v>
      </c>
      <c r="Q10" s="417">
        <v>0.375</v>
      </c>
      <c r="R10" s="417">
        <v>0.33333333333333331</v>
      </c>
      <c r="S10" s="418">
        <v>0.36170212765957449</v>
      </c>
      <c r="U10" s="139" t="s">
        <v>542</v>
      </c>
      <c r="V10" s="139" t="s">
        <v>628</v>
      </c>
      <c r="W10" s="140">
        <v>0.14893617021276595</v>
      </c>
    </row>
    <row r="11" spans="1:23" ht="48.75" customHeight="1" thickBot="1" x14ac:dyDescent="0.3">
      <c r="A11" s="48" t="s">
        <v>613</v>
      </c>
      <c r="B11" s="428" t="s">
        <v>539</v>
      </c>
      <c r="C11" s="429">
        <v>0.1276595744680851</v>
      </c>
      <c r="D11" s="429">
        <v>0.10638297872340426</v>
      </c>
      <c r="E11" s="429">
        <v>6.3829787234042548E-2</v>
      </c>
      <c r="O11" s="48" t="s">
        <v>450</v>
      </c>
      <c r="P11" s="420" t="s">
        <v>540</v>
      </c>
      <c r="Q11" s="421">
        <v>0.53125</v>
      </c>
      <c r="R11" s="421">
        <v>0.26666666666666666</v>
      </c>
      <c r="S11" s="422">
        <v>0.44680851063829785</v>
      </c>
      <c r="U11" s="139" t="s">
        <v>530</v>
      </c>
      <c r="V11" s="139" t="s">
        <v>622</v>
      </c>
      <c r="W11" s="140">
        <v>0.23404255319148937</v>
      </c>
    </row>
    <row r="12" spans="1:23" ht="48.75" customHeight="1" thickBot="1" x14ac:dyDescent="0.3">
      <c r="A12" s="48" t="s">
        <v>614</v>
      </c>
      <c r="B12" s="436" t="s">
        <v>541</v>
      </c>
      <c r="C12" s="437">
        <v>8.5106382978723402E-2</v>
      </c>
      <c r="D12" s="437">
        <v>0.10638297872340426</v>
      </c>
      <c r="E12" s="437">
        <v>0.1276595744680851</v>
      </c>
      <c r="O12" s="48" t="s">
        <v>451</v>
      </c>
      <c r="P12" s="416" t="s">
        <v>542</v>
      </c>
      <c r="Q12" s="417">
        <v>0.15625</v>
      </c>
      <c r="R12" s="417">
        <v>0.13333333333333333</v>
      </c>
      <c r="S12" s="418">
        <v>0.14893617021276595</v>
      </c>
      <c r="U12" s="139" t="s">
        <v>534</v>
      </c>
      <c r="V12" s="139" t="s">
        <v>624</v>
      </c>
      <c r="W12" s="140">
        <v>0.23404255319148937</v>
      </c>
    </row>
    <row r="13" spans="1:23" ht="48.75" customHeight="1" thickBot="1" x14ac:dyDescent="0.3">
      <c r="B13" s="442" t="s">
        <v>543</v>
      </c>
      <c r="C13" s="443">
        <v>0.48936170212765956</v>
      </c>
      <c r="D13" s="443">
        <v>0.40425531914893614</v>
      </c>
      <c r="E13" s="443">
        <v>0.38297872340425532</v>
      </c>
      <c r="O13" s="20"/>
      <c r="P13" s="420" t="s">
        <v>543</v>
      </c>
      <c r="Q13" s="421">
        <v>3.125E-2</v>
      </c>
      <c r="R13" s="421">
        <v>0.2</v>
      </c>
      <c r="S13" s="422">
        <v>8.5106382978723402E-2</v>
      </c>
      <c r="U13" s="139" t="s">
        <v>547</v>
      </c>
      <c r="V13" s="139" t="s">
        <v>547</v>
      </c>
      <c r="W13" s="140">
        <v>0.23404255319148937</v>
      </c>
    </row>
    <row r="14" spans="1:23" ht="97.9" customHeight="1" thickBot="1" x14ac:dyDescent="0.3">
      <c r="B14" s="444" t="s">
        <v>48</v>
      </c>
      <c r="C14" s="561" t="s">
        <v>665</v>
      </c>
      <c r="D14" s="561"/>
      <c r="E14" s="561"/>
      <c r="P14" s="444" t="s">
        <v>48</v>
      </c>
      <c r="Q14" s="561" t="s">
        <v>544</v>
      </c>
      <c r="R14" s="561"/>
      <c r="S14" s="561"/>
      <c r="U14" s="139" t="s">
        <v>546</v>
      </c>
      <c r="V14" s="139" t="s">
        <v>546</v>
      </c>
      <c r="W14" s="140">
        <v>0.2978723404255319</v>
      </c>
    </row>
    <row r="15" spans="1:23" ht="16.5" thickTop="1" x14ac:dyDescent="0.25">
      <c r="B15" s="425"/>
      <c r="C15" s="15"/>
      <c r="D15" s="15"/>
      <c r="E15" s="15"/>
      <c r="P15" s="425"/>
      <c r="Q15" s="15"/>
      <c r="R15" s="15"/>
      <c r="S15" s="15"/>
      <c r="U15" s="139" t="s">
        <v>529</v>
      </c>
      <c r="V15" s="139" t="s">
        <v>629</v>
      </c>
      <c r="W15" s="140">
        <v>0.2978723404255319</v>
      </c>
    </row>
    <row r="16" spans="1:23" ht="15.75" x14ac:dyDescent="0.25">
      <c r="B16" s="425"/>
      <c r="C16" s="15"/>
      <c r="D16" s="15"/>
      <c r="E16" s="15"/>
      <c r="P16" s="425"/>
      <c r="Q16" s="15"/>
      <c r="R16" s="15"/>
      <c r="S16" s="15"/>
      <c r="U16" s="139" t="s">
        <v>536</v>
      </c>
      <c r="V16" s="139" t="s">
        <v>625</v>
      </c>
      <c r="W16" s="140">
        <v>0.36170212765957449</v>
      </c>
    </row>
    <row r="17" spans="1:24" ht="18" x14ac:dyDescent="0.25">
      <c r="B17" s="40" t="s">
        <v>847</v>
      </c>
      <c r="C17" s="40"/>
      <c r="D17" s="40"/>
      <c r="E17" s="40"/>
      <c r="H17" s="39" t="s">
        <v>848</v>
      </c>
      <c r="I17" s="39"/>
      <c r="J17" s="39"/>
      <c r="K17" s="39"/>
      <c r="L17" s="39"/>
      <c r="M17" s="39"/>
      <c r="P17" s="40" t="s">
        <v>849</v>
      </c>
      <c r="Q17" s="40"/>
      <c r="R17" s="40"/>
      <c r="S17" s="40"/>
      <c r="U17" s="139" t="s">
        <v>538</v>
      </c>
      <c r="V17" s="139" t="s">
        <v>626</v>
      </c>
      <c r="W17" s="140">
        <v>0.36170212765957449</v>
      </c>
    </row>
    <row r="18" spans="1:24" ht="18.75" thickBot="1" x14ac:dyDescent="0.3">
      <c r="B18" s="52" t="s">
        <v>519</v>
      </c>
      <c r="C18" s="52"/>
      <c r="D18" s="52"/>
      <c r="E18" s="52"/>
      <c r="T18" s="310"/>
      <c r="U18" s="139" t="s">
        <v>545</v>
      </c>
      <c r="V18" s="139" t="s">
        <v>638</v>
      </c>
      <c r="W18" s="140">
        <v>0.38297872340425532</v>
      </c>
    </row>
    <row r="19" spans="1:24" ht="48.75" customHeight="1" thickBot="1" x14ac:dyDescent="0.3">
      <c r="B19" s="414" t="s">
        <v>850</v>
      </c>
      <c r="C19" s="415" t="s">
        <v>800</v>
      </c>
      <c r="D19" s="415" t="s">
        <v>844</v>
      </c>
      <c r="E19" s="415" t="s">
        <v>845</v>
      </c>
      <c r="U19" s="139" t="s">
        <v>548</v>
      </c>
      <c r="V19" s="139" t="s">
        <v>637</v>
      </c>
      <c r="W19" s="140">
        <v>0.38297872340425532</v>
      </c>
    </row>
    <row r="20" spans="1:24" ht="48.75" customHeight="1" thickTop="1" thickBot="1" x14ac:dyDescent="0.3">
      <c r="A20" s="48" t="s">
        <v>615</v>
      </c>
      <c r="B20" s="416" t="s">
        <v>545</v>
      </c>
      <c r="C20" s="417">
        <v>0.34042553191489361</v>
      </c>
      <c r="D20" s="417">
        <v>0.1702127659574468</v>
      </c>
      <c r="E20" s="417">
        <v>0.14893617021276595</v>
      </c>
      <c r="U20" s="139" t="s">
        <v>532</v>
      </c>
      <c r="V20" s="139" t="s">
        <v>623</v>
      </c>
      <c r="W20" s="140">
        <v>0.38297872340425532</v>
      </c>
    </row>
    <row r="21" spans="1:24" ht="48.75" customHeight="1" thickBot="1" x14ac:dyDescent="0.3">
      <c r="A21" s="48" t="s">
        <v>616</v>
      </c>
      <c r="B21" s="420" t="s">
        <v>546</v>
      </c>
      <c r="C21" s="421">
        <v>0.14893617021276595</v>
      </c>
      <c r="D21" s="421">
        <v>0.1702127659574468</v>
      </c>
      <c r="E21" s="421">
        <v>0.19148936170212766</v>
      </c>
      <c r="U21" s="139" t="s">
        <v>528</v>
      </c>
      <c r="V21" s="139" t="s">
        <v>621</v>
      </c>
      <c r="W21" s="140">
        <v>0.38297872340425532</v>
      </c>
    </row>
    <row r="22" spans="1:24" ht="48.75" customHeight="1" thickBot="1" x14ac:dyDescent="0.3">
      <c r="A22" s="48" t="s">
        <v>617</v>
      </c>
      <c r="B22" s="416" t="s">
        <v>547</v>
      </c>
      <c r="C22" s="417">
        <v>0.10638297872340426</v>
      </c>
      <c r="D22" s="417">
        <v>0.21276595744680851</v>
      </c>
      <c r="E22" s="417">
        <v>0.1276595744680851</v>
      </c>
      <c r="U22" s="139" t="s">
        <v>639</v>
      </c>
      <c r="V22" s="139" t="s">
        <v>640</v>
      </c>
      <c r="W22" s="140">
        <v>0.41935483870967744</v>
      </c>
    </row>
    <row r="23" spans="1:24" ht="48.75" customHeight="1" thickBot="1" x14ac:dyDescent="0.3">
      <c r="A23" s="48" t="s">
        <v>618</v>
      </c>
      <c r="B23" s="445" t="s">
        <v>548</v>
      </c>
      <c r="C23" s="446">
        <v>0.25531914893617019</v>
      </c>
      <c r="D23" s="446">
        <v>0.23404255319148937</v>
      </c>
      <c r="E23" s="446">
        <v>0.23404255319148937</v>
      </c>
      <c r="U23" s="139" t="s">
        <v>540</v>
      </c>
      <c r="V23" s="139" t="s">
        <v>627</v>
      </c>
      <c r="W23" s="140">
        <v>0.44680851063829785</v>
      </c>
    </row>
    <row r="24" spans="1:24" ht="48.75" customHeight="1" thickBot="1" x14ac:dyDescent="0.3">
      <c r="B24" s="447" t="s">
        <v>543</v>
      </c>
      <c r="C24" s="448">
        <v>0.36170212765957449</v>
      </c>
      <c r="D24" s="448">
        <v>0.38297872340425532</v>
      </c>
      <c r="E24" s="448">
        <v>0.40425531914893614</v>
      </c>
      <c r="U24" s="139" t="s">
        <v>527</v>
      </c>
      <c r="V24" s="139" t="s">
        <v>619</v>
      </c>
      <c r="W24" s="140">
        <v>0.51063829787234039</v>
      </c>
    </row>
    <row r="25" spans="1:24" s="20" customFormat="1" ht="115.5" customHeight="1" thickBot="1" x14ac:dyDescent="0.3">
      <c r="B25" s="449" t="s">
        <v>48</v>
      </c>
      <c r="C25" s="562" t="s">
        <v>663</v>
      </c>
      <c r="D25" s="562"/>
      <c r="E25" s="562"/>
      <c r="U25" s="139"/>
      <c r="V25" s="139"/>
      <c r="W25" s="139"/>
      <c r="X25" s="139"/>
    </row>
    <row r="26" spans="1:24" ht="16.5" thickTop="1" x14ac:dyDescent="0.25">
      <c r="B26" s="450"/>
      <c r="C26" s="451"/>
      <c r="D26" s="451"/>
      <c r="E26" s="451"/>
    </row>
    <row r="27" spans="1:24" ht="15.75" customHeight="1" x14ac:dyDescent="0.25">
      <c r="B27" s="450"/>
      <c r="C27" s="451"/>
      <c r="D27" s="451"/>
      <c r="E27" s="451"/>
      <c r="G27" s="29"/>
      <c r="H27" s="29"/>
      <c r="I27" s="29"/>
      <c r="J27" s="29"/>
      <c r="K27" s="29"/>
      <c r="L27" s="29"/>
      <c r="M27" s="29"/>
      <c r="N27" s="29"/>
      <c r="O27" s="29"/>
      <c r="P27" s="29"/>
      <c r="Q27" s="29"/>
      <c r="R27" s="29"/>
      <c r="S27" s="29"/>
      <c r="T27" s="29"/>
    </row>
    <row r="28" spans="1:24" ht="18" customHeight="1" x14ac:dyDescent="0.25">
      <c r="B28" s="40" t="s">
        <v>847</v>
      </c>
      <c r="C28" s="40"/>
      <c r="D28" s="40"/>
      <c r="E28" s="40"/>
      <c r="G28" s="29"/>
      <c r="H28" s="29"/>
      <c r="I28" s="29"/>
      <c r="J28" s="29"/>
      <c r="K28" s="29"/>
      <c r="L28" s="29"/>
      <c r="M28" s="29"/>
      <c r="N28" s="29"/>
      <c r="O28" s="29"/>
      <c r="P28" s="29"/>
      <c r="Q28" s="29"/>
      <c r="R28" s="29"/>
      <c r="S28" s="29"/>
      <c r="T28" s="29"/>
    </row>
    <row r="29" spans="1:24" ht="18.75" customHeight="1" thickBot="1" x14ac:dyDescent="0.3">
      <c r="B29" s="53" t="s">
        <v>46</v>
      </c>
      <c r="C29" s="52"/>
      <c r="D29" s="52"/>
      <c r="E29" s="52"/>
      <c r="G29" s="29"/>
      <c r="H29" s="29"/>
      <c r="I29" s="29"/>
      <c r="J29" s="29"/>
      <c r="K29" s="29"/>
      <c r="L29" s="29"/>
      <c r="M29" s="29"/>
      <c r="N29" s="29"/>
      <c r="O29" s="29"/>
      <c r="P29" s="29"/>
      <c r="Q29" s="29"/>
      <c r="R29" s="29"/>
      <c r="S29" s="29"/>
      <c r="T29" s="29"/>
    </row>
    <row r="30" spans="1:24" ht="32.25" thickBot="1" x14ac:dyDescent="0.3">
      <c r="B30" s="414" t="s">
        <v>850</v>
      </c>
      <c r="C30" s="415" t="s">
        <v>800</v>
      </c>
      <c r="D30" s="415" t="s">
        <v>844</v>
      </c>
      <c r="E30" s="415" t="s">
        <v>845</v>
      </c>
      <c r="G30" s="29"/>
      <c r="H30" s="29"/>
      <c r="I30" s="29"/>
      <c r="J30" s="29"/>
      <c r="K30" s="29"/>
      <c r="L30" s="29"/>
      <c r="M30" s="29"/>
      <c r="N30" s="29"/>
      <c r="O30" s="29"/>
      <c r="P30" s="29"/>
      <c r="Q30" s="29"/>
      <c r="R30" s="29"/>
      <c r="S30" s="29"/>
      <c r="T30" s="29"/>
    </row>
    <row r="31" spans="1:24" ht="48.75" customHeight="1" thickTop="1" thickBot="1" x14ac:dyDescent="0.3">
      <c r="A31" s="48" t="s">
        <v>615</v>
      </c>
      <c r="B31" s="416" t="s">
        <v>545</v>
      </c>
      <c r="C31" s="417">
        <v>0.40625</v>
      </c>
      <c r="D31" s="417">
        <v>9.375E-2</v>
      </c>
      <c r="E31" s="417">
        <v>9.375E-2</v>
      </c>
      <c r="G31" s="29"/>
      <c r="H31" s="29"/>
      <c r="I31" s="29"/>
      <c r="J31" s="29"/>
      <c r="K31" s="29"/>
      <c r="L31" s="29"/>
      <c r="M31" s="29"/>
      <c r="N31" s="29"/>
      <c r="O31" s="29"/>
      <c r="P31" s="29"/>
      <c r="Q31" s="29"/>
      <c r="R31" s="29"/>
      <c r="S31" s="29"/>
      <c r="T31" s="29"/>
    </row>
    <row r="32" spans="1:24" ht="48.75" customHeight="1" thickBot="1" x14ac:dyDescent="0.3">
      <c r="A32" s="48" t="s">
        <v>616</v>
      </c>
      <c r="B32" s="420" t="s">
        <v>546</v>
      </c>
      <c r="C32" s="421">
        <v>0.1875</v>
      </c>
      <c r="D32" s="421">
        <v>0.15625</v>
      </c>
      <c r="E32" s="421">
        <v>0.1875</v>
      </c>
      <c r="G32" s="29"/>
      <c r="H32" s="29"/>
      <c r="I32" s="29"/>
      <c r="J32" s="29"/>
      <c r="K32" s="29"/>
      <c r="L32" s="29"/>
      <c r="M32" s="29"/>
      <c r="N32" s="29"/>
      <c r="O32" s="29"/>
      <c r="P32" s="29"/>
      <c r="Q32" s="29"/>
      <c r="R32" s="29"/>
      <c r="S32" s="29"/>
      <c r="T32" s="29"/>
    </row>
    <row r="33" spans="1:24" ht="48.75" customHeight="1" thickBot="1" x14ac:dyDescent="0.3">
      <c r="A33" s="48" t="s">
        <v>617</v>
      </c>
      <c r="B33" s="416" t="s">
        <v>547</v>
      </c>
      <c r="C33" s="417">
        <v>0.125</v>
      </c>
      <c r="D33" s="417">
        <v>0.1875</v>
      </c>
      <c r="E33" s="417">
        <v>9.375E-2</v>
      </c>
      <c r="G33" s="29"/>
      <c r="H33" s="29"/>
      <c r="I33" s="29"/>
      <c r="J33" s="29"/>
      <c r="K33" s="29"/>
      <c r="L33" s="29"/>
      <c r="M33" s="29"/>
      <c r="N33" s="29"/>
      <c r="O33" s="29"/>
      <c r="P33" s="29"/>
      <c r="Q33" s="29"/>
      <c r="R33" s="29"/>
      <c r="S33" s="29"/>
      <c r="T33" s="29"/>
    </row>
    <row r="34" spans="1:24" ht="48.75" customHeight="1" thickBot="1" x14ac:dyDescent="0.3">
      <c r="A34" s="48" t="s">
        <v>618</v>
      </c>
      <c r="B34" s="445" t="s">
        <v>548</v>
      </c>
      <c r="C34" s="446">
        <v>0.3125</v>
      </c>
      <c r="D34" s="446">
        <v>0.21875</v>
      </c>
      <c r="E34" s="446">
        <v>0.1875</v>
      </c>
      <c r="G34" s="29"/>
      <c r="H34" s="29"/>
      <c r="I34" s="29"/>
      <c r="J34" s="29"/>
      <c r="K34" s="29"/>
      <c r="L34" s="29"/>
      <c r="M34" s="29"/>
      <c r="N34" s="29"/>
      <c r="O34" s="29"/>
      <c r="P34" s="29"/>
      <c r="Q34" s="29"/>
      <c r="R34" s="29"/>
      <c r="S34" s="29"/>
      <c r="T34" s="29"/>
    </row>
    <row r="35" spans="1:24" ht="48.75" customHeight="1" thickBot="1" x14ac:dyDescent="0.3">
      <c r="B35" s="447" t="s">
        <v>543</v>
      </c>
      <c r="C35" s="448">
        <v>0.28125</v>
      </c>
      <c r="D35" s="448">
        <v>0.40625</v>
      </c>
      <c r="E35" s="448">
        <v>0.4375</v>
      </c>
      <c r="G35" s="29"/>
      <c r="H35" s="29"/>
      <c r="I35" s="29"/>
      <c r="J35" s="29"/>
      <c r="K35" s="29"/>
      <c r="L35" s="29"/>
      <c r="M35" s="29"/>
      <c r="N35" s="29"/>
      <c r="O35" s="29"/>
      <c r="P35" s="29"/>
      <c r="Q35" s="29"/>
      <c r="R35" s="29"/>
      <c r="S35" s="29"/>
      <c r="T35" s="29"/>
    </row>
    <row r="36" spans="1:24" s="15" customFormat="1" ht="115.5" customHeight="1" thickBot="1" x14ac:dyDescent="0.3">
      <c r="A36" s="20"/>
      <c r="B36" s="449" t="s">
        <v>48</v>
      </c>
      <c r="C36" s="562" t="s">
        <v>664</v>
      </c>
      <c r="D36" s="562"/>
      <c r="E36" s="562"/>
      <c r="G36" s="29"/>
      <c r="H36" s="29"/>
      <c r="I36" s="29"/>
      <c r="J36" s="29"/>
      <c r="K36" s="29"/>
      <c r="L36" s="29"/>
      <c r="M36" s="29"/>
      <c r="N36" s="29"/>
      <c r="O36" s="29"/>
      <c r="P36" s="29"/>
      <c r="Q36" s="29"/>
      <c r="R36" s="29"/>
      <c r="S36" s="29"/>
      <c r="T36" s="29"/>
      <c r="U36" s="141"/>
      <c r="V36" s="141"/>
      <c r="W36" s="141"/>
      <c r="X36" s="141"/>
    </row>
    <row r="37" spans="1:24" ht="15.75" customHeight="1" thickTop="1" x14ac:dyDescent="0.25">
      <c r="B37" s="450"/>
      <c r="C37" s="452"/>
      <c r="D37" s="452"/>
      <c r="E37" s="452"/>
      <c r="G37" s="29"/>
      <c r="H37" s="29"/>
      <c r="I37" s="29"/>
      <c r="J37" s="29"/>
      <c r="K37" s="29"/>
      <c r="L37" s="29"/>
      <c r="M37" s="29"/>
      <c r="N37" s="29"/>
      <c r="O37" s="29"/>
      <c r="P37" s="29"/>
      <c r="Q37" s="29"/>
      <c r="R37" s="29"/>
      <c r="S37" s="29"/>
      <c r="T37" s="29"/>
    </row>
    <row r="38" spans="1:24" ht="15.75" customHeight="1" x14ac:dyDescent="0.25">
      <c r="B38" s="450"/>
      <c r="C38" s="452"/>
      <c r="D38" s="452"/>
      <c r="E38" s="452"/>
      <c r="G38" s="29"/>
      <c r="H38" s="29"/>
      <c r="I38" s="29"/>
      <c r="J38" s="29"/>
      <c r="K38" s="29"/>
      <c r="L38" s="29"/>
      <c r="M38" s="29"/>
      <c r="N38" s="29"/>
      <c r="O38" s="29"/>
      <c r="P38" s="29"/>
      <c r="Q38" s="29"/>
      <c r="R38" s="29"/>
      <c r="S38" s="29"/>
      <c r="T38" s="29"/>
    </row>
    <row r="39" spans="1:24" ht="18" customHeight="1" x14ac:dyDescent="0.25">
      <c r="B39" s="40" t="s">
        <v>847</v>
      </c>
      <c r="C39" s="40"/>
      <c r="D39" s="40"/>
      <c r="E39" s="40"/>
      <c r="G39" s="29"/>
      <c r="H39" s="29"/>
      <c r="I39" s="29"/>
      <c r="J39" s="29"/>
      <c r="K39" s="29"/>
      <c r="L39" s="29"/>
      <c r="M39" s="29"/>
      <c r="N39" s="29"/>
      <c r="O39" s="29"/>
      <c r="P39" s="29"/>
      <c r="Q39" s="29"/>
      <c r="R39" s="29"/>
      <c r="S39" s="29"/>
      <c r="T39" s="29"/>
    </row>
    <row r="40" spans="1:24" ht="18.75" customHeight="1" thickBot="1" x14ac:dyDescent="0.3">
      <c r="B40" s="53" t="s">
        <v>18</v>
      </c>
      <c r="C40" s="52"/>
      <c r="D40" s="52"/>
      <c r="E40" s="52"/>
      <c r="G40" s="29"/>
      <c r="H40" s="29"/>
      <c r="I40" s="29"/>
      <c r="J40" s="29"/>
      <c r="K40" s="29"/>
      <c r="L40" s="29"/>
      <c r="M40" s="29"/>
      <c r="N40" s="29"/>
      <c r="O40" s="29"/>
      <c r="P40" s="29"/>
      <c r="Q40" s="29"/>
      <c r="R40" s="29"/>
      <c r="S40" s="29"/>
      <c r="T40" s="29"/>
    </row>
    <row r="41" spans="1:24" ht="32.25" thickBot="1" x14ac:dyDescent="0.3">
      <c r="B41" s="414" t="s">
        <v>850</v>
      </c>
      <c r="C41" s="415" t="s">
        <v>800</v>
      </c>
      <c r="D41" s="415" t="s">
        <v>516</v>
      </c>
      <c r="E41" s="415" t="s">
        <v>845</v>
      </c>
      <c r="G41" s="29"/>
      <c r="H41" s="29"/>
      <c r="I41" s="29"/>
      <c r="J41" s="29"/>
      <c r="K41" s="29"/>
      <c r="L41" s="29"/>
      <c r="M41" s="29"/>
      <c r="N41" s="29"/>
      <c r="O41" s="29"/>
      <c r="P41" s="29"/>
      <c r="Q41" s="29"/>
      <c r="R41" s="29"/>
      <c r="S41" s="29"/>
      <c r="T41" s="29"/>
    </row>
    <row r="42" spans="1:24" s="15" customFormat="1" ht="48.75" customHeight="1" thickTop="1" thickBot="1" x14ac:dyDescent="0.3">
      <c r="A42" s="48" t="s">
        <v>615</v>
      </c>
      <c r="B42" s="416" t="s">
        <v>545</v>
      </c>
      <c r="C42" s="417">
        <v>0.2</v>
      </c>
      <c r="D42" s="417">
        <v>0.33333333333333331</v>
      </c>
      <c r="E42" s="417">
        <v>0.26666666666666666</v>
      </c>
      <c r="G42" s="29"/>
      <c r="H42" s="29"/>
      <c r="I42" s="29"/>
      <c r="J42" s="29"/>
      <c r="K42" s="29"/>
      <c r="L42" s="29"/>
      <c r="M42" s="29"/>
      <c r="N42" s="29"/>
      <c r="O42" s="29"/>
      <c r="P42" s="29"/>
      <c r="Q42" s="29"/>
      <c r="R42" s="29"/>
      <c r="S42" s="29"/>
      <c r="T42" s="29"/>
      <c r="U42" s="141"/>
      <c r="V42" s="141"/>
      <c r="W42" s="141"/>
      <c r="X42" s="141"/>
    </row>
    <row r="43" spans="1:24" s="15" customFormat="1" ht="48.75" customHeight="1" thickBot="1" x14ac:dyDescent="0.3">
      <c r="A43" s="48" t="s">
        <v>616</v>
      </c>
      <c r="B43" s="420" t="s">
        <v>546</v>
      </c>
      <c r="C43" s="421">
        <v>6.6666666666666666E-2</v>
      </c>
      <c r="D43" s="421">
        <v>0.2</v>
      </c>
      <c r="E43" s="421">
        <v>0.2</v>
      </c>
      <c r="G43" s="29"/>
      <c r="H43" s="29"/>
      <c r="I43" s="29"/>
      <c r="J43" s="29"/>
      <c r="K43" s="29"/>
      <c r="L43" s="29"/>
      <c r="M43" s="29"/>
      <c r="N43" s="29"/>
      <c r="O43" s="29"/>
      <c r="P43" s="29"/>
      <c r="Q43" s="29"/>
      <c r="R43" s="29"/>
      <c r="S43" s="29"/>
      <c r="T43" s="29"/>
      <c r="U43" s="141"/>
      <c r="V43" s="141"/>
      <c r="W43" s="141"/>
      <c r="X43" s="141"/>
    </row>
    <row r="44" spans="1:24" s="15" customFormat="1" ht="48.75" customHeight="1" thickBot="1" x14ac:dyDescent="0.3">
      <c r="A44" s="48" t="s">
        <v>617</v>
      </c>
      <c r="B44" s="416" t="s">
        <v>547</v>
      </c>
      <c r="C44" s="417">
        <v>6.6666666666666666E-2</v>
      </c>
      <c r="D44" s="417">
        <v>0.26666666666666666</v>
      </c>
      <c r="E44" s="417">
        <v>0.2</v>
      </c>
      <c r="G44" s="29"/>
      <c r="H44" s="29"/>
      <c r="I44" s="29"/>
      <c r="J44" s="29"/>
      <c r="K44" s="29"/>
      <c r="L44" s="29"/>
      <c r="M44" s="29"/>
      <c r="N44" s="29"/>
      <c r="O44" s="29"/>
      <c r="P44" s="29"/>
      <c r="Q44" s="29"/>
      <c r="R44" s="29"/>
      <c r="S44" s="29"/>
      <c r="T44" s="29"/>
      <c r="U44" s="141"/>
      <c r="V44" s="141"/>
      <c r="W44" s="141"/>
      <c r="X44" s="141"/>
    </row>
    <row r="45" spans="1:24" s="15" customFormat="1" ht="48.75" customHeight="1" thickBot="1" x14ac:dyDescent="0.3">
      <c r="A45" s="48" t="s">
        <v>618</v>
      </c>
      <c r="B45" s="445" t="s">
        <v>548</v>
      </c>
      <c r="C45" s="446">
        <v>0.13333333333333333</v>
      </c>
      <c r="D45" s="446">
        <v>0.26666666666666666</v>
      </c>
      <c r="E45" s="446">
        <v>0.33333333333333331</v>
      </c>
      <c r="G45" s="29"/>
      <c r="H45" s="29"/>
      <c r="I45" s="29"/>
      <c r="J45" s="29"/>
      <c r="K45" s="29"/>
      <c r="L45" s="29"/>
      <c r="M45" s="29"/>
      <c r="N45" s="29"/>
      <c r="O45" s="29"/>
      <c r="P45" s="29"/>
      <c r="Q45" s="29"/>
      <c r="R45" s="29"/>
      <c r="S45" s="29"/>
      <c r="T45" s="29"/>
      <c r="U45" s="141"/>
      <c r="V45" s="141"/>
      <c r="W45" s="141"/>
      <c r="X45" s="141"/>
    </row>
    <row r="46" spans="1:24" s="15" customFormat="1" ht="48.75" customHeight="1" thickBot="1" x14ac:dyDescent="0.3">
      <c r="A46"/>
      <c r="B46" s="447" t="s">
        <v>543</v>
      </c>
      <c r="C46" s="448">
        <v>0.53333333333333333</v>
      </c>
      <c r="D46" s="448">
        <v>0.33333333333333331</v>
      </c>
      <c r="E46" s="448">
        <v>0.33333333333333331</v>
      </c>
      <c r="G46" s="29"/>
      <c r="H46" s="29"/>
      <c r="I46" s="29"/>
      <c r="J46" s="29"/>
      <c r="K46" s="29"/>
      <c r="L46" s="29"/>
      <c r="M46" s="29"/>
      <c r="N46" s="29"/>
      <c r="O46" s="29"/>
      <c r="P46" s="29"/>
      <c r="Q46" s="29"/>
      <c r="R46" s="29"/>
      <c r="S46" s="29"/>
      <c r="T46" s="29"/>
      <c r="U46" s="141"/>
      <c r="V46" s="141"/>
      <c r="W46" s="141"/>
      <c r="X46" s="141"/>
    </row>
    <row r="47" spans="1:24" ht="115.5" customHeight="1" thickBot="1" x14ac:dyDescent="0.3">
      <c r="A47" s="20"/>
      <c r="B47" s="449" t="s">
        <v>48</v>
      </c>
      <c r="C47" s="562" t="s">
        <v>664</v>
      </c>
      <c r="D47" s="562"/>
      <c r="E47" s="562"/>
      <c r="G47" s="29"/>
      <c r="H47" s="29"/>
      <c r="I47" s="29"/>
      <c r="J47" s="29"/>
      <c r="K47" s="29"/>
      <c r="L47" s="29"/>
      <c r="M47" s="29"/>
      <c r="N47" s="29"/>
      <c r="O47" s="29"/>
      <c r="P47" s="29"/>
      <c r="Q47" s="29"/>
      <c r="R47" s="29"/>
      <c r="S47" s="29"/>
      <c r="T47" s="29"/>
    </row>
    <row r="48" spans="1:24" ht="15.75" customHeight="1" thickTop="1" x14ac:dyDescent="0.25">
      <c r="G48" s="29"/>
      <c r="H48" s="29"/>
      <c r="I48" s="29"/>
      <c r="J48" s="29"/>
      <c r="K48" s="29"/>
      <c r="L48" s="29"/>
      <c r="M48" s="29"/>
      <c r="N48" s="29"/>
      <c r="O48" s="29"/>
      <c r="P48" s="29"/>
      <c r="Q48" s="29"/>
      <c r="R48" s="29"/>
      <c r="S48" s="29"/>
      <c r="T48" s="29"/>
    </row>
  </sheetData>
  <mergeCells count="10">
    <mergeCell ref="Q14:S14"/>
    <mergeCell ref="C25:E25"/>
    <mergeCell ref="C36:E36"/>
    <mergeCell ref="C47:E47"/>
    <mergeCell ref="H4:H5"/>
    <mergeCell ref="I4:J4"/>
    <mergeCell ref="L4:M4"/>
    <mergeCell ref="I9:M9"/>
    <mergeCell ref="H10:J10"/>
    <mergeCell ref="C14:E14"/>
  </mergeCells>
  <printOptions horizontalCentered="1" verticalCentered="1"/>
  <pageMargins left="0.7" right="0.7" top="0.5" bottom="0.5" header="0.3" footer="0.3"/>
  <pageSetup scale="78" fitToHeight="0" orientation="landscape" verticalDpi="1200" r:id="rId1"/>
  <rowBreaks count="3" manualBreakCount="3">
    <brk id="15" max="19" man="1"/>
    <brk id="26" max="19" man="1"/>
    <brk id="37" max="19" man="1"/>
  </rowBreaks>
  <colBreaks count="2" manualBreakCount="2">
    <brk id="6" max="47" man="1"/>
    <brk id="14" max="47"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88416-800B-4E0E-A59C-A90F068FD670}">
  <sheetPr codeName="Sheet25">
    <tabColor theme="6" tint="0.39997558519241921"/>
  </sheetPr>
  <dimension ref="B1:AX61"/>
  <sheetViews>
    <sheetView showGridLines="0" zoomScale="40" zoomScaleNormal="40" zoomScaleSheetLayoutView="100" workbookViewId="0"/>
  </sheetViews>
  <sheetFormatPr defaultColWidth="9.28515625" defaultRowHeight="15" x14ac:dyDescent="0.25"/>
  <cols>
    <col min="1" max="1" width="3.5703125" style="82" customWidth="1"/>
    <col min="2" max="2" width="11.5703125" style="82" customWidth="1"/>
    <col min="3" max="7" width="9.5703125" style="82" customWidth="1"/>
    <col min="8" max="8" width="3.7109375" style="82" hidden="1" customWidth="1"/>
    <col min="9" max="9" width="10.7109375" style="82" customWidth="1"/>
    <col min="10" max="14" width="9.5703125" style="82" customWidth="1"/>
    <col min="15" max="15" width="3.5703125" style="82" customWidth="1"/>
    <col min="16" max="21" width="9.28515625" style="82"/>
    <col min="22" max="22" width="11.5703125" style="82" bestFit="1" customWidth="1"/>
    <col min="23" max="23" width="9.28515625" style="82"/>
    <col min="24" max="24" width="9.28515625" style="82" customWidth="1"/>
    <col min="25" max="25" width="3.7109375" style="82" hidden="1" customWidth="1"/>
    <col min="26" max="26" width="10.7109375" style="82" customWidth="1"/>
    <col min="27" max="27" width="9.28515625" style="82" customWidth="1"/>
    <col min="28" max="29" width="9.28515625" style="82"/>
    <col min="30" max="30" width="15.42578125" style="82" customWidth="1"/>
    <col min="31" max="31" width="12.7109375" style="82" customWidth="1"/>
    <col min="32" max="34" width="12.5703125" style="82" customWidth="1"/>
    <col min="35" max="35" width="3.7109375" style="82" hidden="1" customWidth="1"/>
    <col min="36" max="38" width="12.5703125" style="82" customWidth="1"/>
    <col min="39" max="40" width="9.28515625" style="82"/>
    <col min="41" max="41" width="9.28515625" style="82" customWidth="1"/>
    <col min="42" max="42" width="36" style="82" customWidth="1"/>
    <col min="43" max="47" width="9.5703125" style="82" customWidth="1"/>
    <col min="48" max="48" width="3.7109375" style="82" hidden="1" customWidth="1"/>
    <col min="49" max="49" width="11.42578125" style="82" customWidth="1"/>
    <col min="50" max="16384" width="9.28515625" style="82"/>
  </cols>
  <sheetData>
    <row r="1" spans="2:49" customFormat="1" x14ac:dyDescent="0.25">
      <c r="AF1" s="35">
        <v>6</v>
      </c>
      <c r="AG1" s="35">
        <v>28</v>
      </c>
      <c r="AH1" s="35">
        <v>31</v>
      </c>
    </row>
    <row r="2" spans="2:49" customFormat="1" ht="18" x14ac:dyDescent="0.25">
      <c r="B2" s="453"/>
      <c r="C2" s="39" t="s">
        <v>851</v>
      </c>
      <c r="D2" s="39"/>
      <c r="E2" s="39"/>
      <c r="F2" s="39"/>
      <c r="G2" s="39"/>
      <c r="H2" s="39"/>
      <c r="I2" s="39"/>
      <c r="J2" s="39"/>
      <c r="K2" s="39"/>
      <c r="L2" s="39"/>
      <c r="R2" s="39" t="s">
        <v>852</v>
      </c>
      <c r="S2" s="39"/>
      <c r="T2" s="39"/>
      <c r="U2" s="39"/>
      <c r="V2" s="39"/>
      <c r="W2" s="39"/>
      <c r="X2" s="39"/>
      <c r="Y2" s="39"/>
      <c r="Z2" s="39"/>
      <c r="AA2" s="16"/>
      <c r="AD2" s="40" t="s">
        <v>853</v>
      </c>
      <c r="AE2" s="40"/>
      <c r="AF2" s="40"/>
      <c r="AG2" s="40"/>
      <c r="AH2" s="40"/>
      <c r="AI2" s="40"/>
      <c r="AJ2" s="40"/>
      <c r="AK2" s="40"/>
      <c r="AL2" s="40"/>
      <c r="AM2" s="310"/>
      <c r="AO2" s="40" t="s">
        <v>854</v>
      </c>
      <c r="AP2" s="40"/>
      <c r="AQ2" s="40"/>
      <c r="AR2" s="40"/>
      <c r="AS2" s="40"/>
      <c r="AT2" s="40"/>
      <c r="AU2" s="40"/>
      <c r="AV2" s="40"/>
      <c r="AW2" s="40"/>
    </row>
    <row r="3" spans="2:49" customFormat="1" ht="18.75" thickBot="1" x14ac:dyDescent="0.3">
      <c r="R3" s="39" t="s">
        <v>855</v>
      </c>
      <c r="S3" s="39"/>
      <c r="T3" s="39"/>
      <c r="U3" s="39"/>
      <c r="V3" s="39"/>
      <c r="W3" s="39"/>
      <c r="X3" s="39"/>
      <c r="Y3" s="39"/>
      <c r="Z3" s="39"/>
      <c r="AA3" s="16"/>
      <c r="AD3" s="40" t="s">
        <v>856</v>
      </c>
      <c r="AE3" s="40"/>
      <c r="AF3" s="40"/>
      <c r="AG3" s="40"/>
      <c r="AH3" s="40"/>
      <c r="AI3" s="40"/>
      <c r="AJ3" s="40"/>
      <c r="AK3" s="40"/>
      <c r="AL3" s="40"/>
      <c r="AM3" s="310"/>
      <c r="AO3" s="40" t="s">
        <v>857</v>
      </c>
      <c r="AP3" s="40"/>
      <c r="AQ3" s="40"/>
      <c r="AR3" s="40"/>
      <c r="AS3" s="40"/>
      <c r="AT3" s="40"/>
      <c r="AU3" s="40"/>
      <c r="AV3" s="40"/>
      <c r="AW3" s="40"/>
    </row>
    <row r="4" spans="2:49" customFormat="1" ht="61.15" customHeight="1" thickTop="1" thickBot="1" x14ac:dyDescent="0.3">
      <c r="F4" s="454"/>
      <c r="S4" s="30"/>
      <c r="T4" s="455" t="s">
        <v>475</v>
      </c>
      <c r="U4" s="455" t="s">
        <v>476</v>
      </c>
      <c r="V4" s="455" t="s">
        <v>477</v>
      </c>
      <c r="W4" s="455" t="s">
        <v>478</v>
      </c>
      <c r="X4" s="455" t="s">
        <v>434</v>
      </c>
      <c r="Y4" s="456"/>
      <c r="Z4" s="455" t="s">
        <v>799</v>
      </c>
      <c r="AA4" s="17"/>
      <c r="AB4" s="17"/>
      <c r="AC4" s="17"/>
      <c r="AF4" s="46" t="s">
        <v>479</v>
      </c>
      <c r="AG4" s="46"/>
      <c r="AH4" s="46"/>
      <c r="AI4" s="43"/>
      <c r="AJ4" s="46" t="s">
        <v>858</v>
      </c>
      <c r="AK4" s="46"/>
      <c r="AL4" s="46"/>
      <c r="AM4" s="17"/>
      <c r="AO4" s="347"/>
      <c r="AP4" s="346"/>
      <c r="AQ4" s="347" t="s">
        <v>475</v>
      </c>
      <c r="AR4" s="347" t="s">
        <v>476</v>
      </c>
      <c r="AS4" s="347" t="s">
        <v>477</v>
      </c>
      <c r="AT4" s="347" t="s">
        <v>478</v>
      </c>
      <c r="AU4" s="347" t="s">
        <v>662</v>
      </c>
      <c r="AV4" s="348"/>
      <c r="AW4" s="347" t="s">
        <v>799</v>
      </c>
    </row>
    <row r="5" spans="2:49" customFormat="1" ht="18.600000000000001" customHeight="1" thickTop="1" thickBot="1" x14ac:dyDescent="0.3">
      <c r="B5" s="457" t="s">
        <v>859</v>
      </c>
      <c r="C5" s="457" t="s">
        <v>590</v>
      </c>
      <c r="D5" s="457" t="s">
        <v>636</v>
      </c>
      <c r="F5" s="454"/>
      <c r="R5" s="572" t="s">
        <v>480</v>
      </c>
      <c r="S5" s="572"/>
      <c r="T5" s="458">
        <v>12</v>
      </c>
      <c r="U5" s="458">
        <v>96</v>
      </c>
      <c r="V5" s="458">
        <v>94.58064516129032</v>
      </c>
      <c r="W5" s="458">
        <v>192</v>
      </c>
      <c r="X5" s="351">
        <v>96</v>
      </c>
      <c r="Y5" s="459"/>
      <c r="Z5" s="460">
        <v>31</v>
      </c>
      <c r="AA5" s="426"/>
      <c r="AB5" s="426"/>
      <c r="AC5" s="426"/>
      <c r="AF5" s="308" t="s">
        <v>860</v>
      </c>
      <c r="AG5" s="312" t="s">
        <v>598</v>
      </c>
      <c r="AH5" s="308" t="s">
        <v>481</v>
      </c>
      <c r="AI5" s="573"/>
      <c r="AJ5" s="308" t="s">
        <v>860</v>
      </c>
      <c r="AK5" s="312" t="s">
        <v>598</v>
      </c>
      <c r="AL5" s="308" t="s">
        <v>481</v>
      </c>
      <c r="AM5" s="17"/>
      <c r="AO5" s="569" t="s">
        <v>861</v>
      </c>
      <c r="AP5" s="404" t="s">
        <v>482</v>
      </c>
      <c r="AQ5" s="461">
        <v>6</v>
      </c>
      <c r="AR5" s="461">
        <v>11</v>
      </c>
      <c r="AS5" s="461">
        <v>10.941176470588236</v>
      </c>
      <c r="AT5" s="461">
        <v>13</v>
      </c>
      <c r="AU5" s="461">
        <v>11</v>
      </c>
      <c r="AV5" s="426"/>
      <c r="AW5" s="462">
        <v>34</v>
      </c>
    </row>
    <row r="6" spans="2:49" customFormat="1" ht="18.600000000000001" customHeight="1" thickBot="1" x14ac:dyDescent="0.3">
      <c r="B6" s="31" t="s">
        <v>862</v>
      </c>
      <c r="C6" s="35">
        <v>28</v>
      </c>
      <c r="D6" s="38">
        <v>0.82352941176470584</v>
      </c>
      <c r="Q6" s="463"/>
      <c r="R6" s="574" t="s">
        <v>483</v>
      </c>
      <c r="S6" s="574"/>
      <c r="T6" s="464">
        <v>12</v>
      </c>
      <c r="U6" s="464">
        <v>96</v>
      </c>
      <c r="V6" s="464">
        <v>94.58064516129032</v>
      </c>
      <c r="W6" s="464">
        <v>192</v>
      </c>
      <c r="X6" s="464">
        <v>96</v>
      </c>
      <c r="Y6" s="459"/>
      <c r="Z6" s="462">
        <v>31</v>
      </c>
      <c r="AA6" s="426"/>
      <c r="AB6" s="426"/>
      <c r="AC6" s="426"/>
      <c r="AF6" s="465" t="s">
        <v>906</v>
      </c>
      <c r="AG6" s="465" t="s">
        <v>907</v>
      </c>
      <c r="AH6" s="465" t="s">
        <v>908</v>
      </c>
      <c r="AI6" s="573"/>
      <c r="AJ6" s="465" t="s">
        <v>906</v>
      </c>
      <c r="AK6" s="465" t="s">
        <v>907</v>
      </c>
      <c r="AL6" s="465" t="s">
        <v>908</v>
      </c>
      <c r="AM6" s="466"/>
      <c r="AO6" s="556"/>
      <c r="AP6" s="404" t="s">
        <v>863</v>
      </c>
      <c r="AQ6" s="461">
        <v>0</v>
      </c>
      <c r="AR6" s="461">
        <v>1</v>
      </c>
      <c r="AS6" s="461">
        <v>1.5129310344827587</v>
      </c>
      <c r="AT6" s="461">
        <v>6.375</v>
      </c>
      <c r="AU6" s="461">
        <v>2</v>
      </c>
      <c r="AV6" s="426"/>
      <c r="AW6" s="462">
        <v>29</v>
      </c>
    </row>
    <row r="7" spans="2:49" customFormat="1" ht="32.25" thickBot="1" x14ac:dyDescent="0.3">
      <c r="B7" s="31" t="s">
        <v>864</v>
      </c>
      <c r="C7" s="35">
        <v>6</v>
      </c>
      <c r="D7" s="38">
        <v>0.17647058823529413</v>
      </c>
      <c r="AD7" s="575" t="s">
        <v>865</v>
      </c>
      <c r="AE7" s="575"/>
      <c r="AF7" s="467">
        <v>5</v>
      </c>
      <c r="AG7" s="467">
        <v>26</v>
      </c>
      <c r="AH7" s="467">
        <v>30</v>
      </c>
      <c r="AI7" s="468"/>
      <c r="AJ7" s="469">
        <v>0.83333333333333337</v>
      </c>
      <c r="AK7" s="469">
        <v>0.9285714285714286</v>
      </c>
      <c r="AL7" s="469">
        <v>0.967741935483871</v>
      </c>
      <c r="AM7" s="388"/>
      <c r="AO7" s="570"/>
      <c r="AP7" s="353" t="s">
        <v>866</v>
      </c>
      <c r="AQ7" s="354">
        <v>8</v>
      </c>
      <c r="AR7" s="354">
        <v>13</v>
      </c>
      <c r="AS7" s="354">
        <v>12.231617647058824</v>
      </c>
      <c r="AT7" s="354">
        <v>15</v>
      </c>
      <c r="AU7" s="354">
        <v>13</v>
      </c>
      <c r="AV7" s="426"/>
      <c r="AW7" s="470">
        <v>34</v>
      </c>
    </row>
    <row r="8" spans="2:49" customFormat="1" ht="19.5" thickTop="1" thickBot="1" x14ac:dyDescent="0.3">
      <c r="Z8" s="310"/>
      <c r="AA8" s="310"/>
      <c r="AD8" s="568" t="s">
        <v>867</v>
      </c>
      <c r="AE8" s="568"/>
      <c r="AF8" s="357">
        <v>0</v>
      </c>
      <c r="AG8" s="357">
        <v>0</v>
      </c>
      <c r="AH8" s="357">
        <v>11</v>
      </c>
      <c r="AI8" s="426"/>
      <c r="AJ8" s="358">
        <v>0</v>
      </c>
      <c r="AK8" s="358">
        <v>0</v>
      </c>
      <c r="AL8" s="358">
        <v>0.35483870967741937</v>
      </c>
      <c r="AM8" s="378"/>
      <c r="AO8" s="569" t="s">
        <v>868</v>
      </c>
      <c r="AP8" s="404" t="s">
        <v>482</v>
      </c>
      <c r="AQ8" s="461">
        <v>6</v>
      </c>
      <c r="AR8" s="461">
        <v>11</v>
      </c>
      <c r="AS8" s="461">
        <v>10.941176470588236</v>
      </c>
      <c r="AT8" s="461">
        <v>13</v>
      </c>
      <c r="AU8" s="461">
        <v>11</v>
      </c>
      <c r="AV8" s="426"/>
      <c r="AW8" s="462">
        <v>34</v>
      </c>
    </row>
    <row r="9" spans="2:49" customFormat="1" ht="18.75" thickBot="1" x14ac:dyDescent="0.3">
      <c r="Z9" s="310"/>
      <c r="AA9" s="310"/>
      <c r="AD9" s="568" t="s">
        <v>869</v>
      </c>
      <c r="AE9" s="568"/>
      <c r="AF9" s="357">
        <v>5</v>
      </c>
      <c r="AG9" s="357">
        <v>26</v>
      </c>
      <c r="AH9" s="357">
        <v>19</v>
      </c>
      <c r="AI9" s="426"/>
      <c r="AJ9" s="358">
        <v>0.83333333333333337</v>
      </c>
      <c r="AK9" s="358">
        <v>0.9285714285714286</v>
      </c>
      <c r="AL9" s="358">
        <v>0.61290322580645162</v>
      </c>
      <c r="AM9" s="378"/>
      <c r="AO9" s="556"/>
      <c r="AP9" s="404" t="s">
        <v>863</v>
      </c>
      <c r="AQ9" s="461">
        <v>0.5</v>
      </c>
      <c r="AR9" s="461">
        <v>2</v>
      </c>
      <c r="AS9" s="461">
        <v>1.9943181818181819</v>
      </c>
      <c r="AT9" s="461">
        <v>6.375</v>
      </c>
      <c r="AU9" s="461">
        <v>2</v>
      </c>
      <c r="AV9" s="426"/>
      <c r="AW9" s="462">
        <v>22</v>
      </c>
    </row>
    <row r="10" spans="2:49" customFormat="1" ht="32.25" thickBot="1" x14ac:dyDescent="0.3">
      <c r="Z10" s="310"/>
      <c r="AA10" s="310"/>
      <c r="AD10" s="571" t="s">
        <v>870</v>
      </c>
      <c r="AE10" s="571"/>
      <c r="AF10" s="471"/>
      <c r="AG10" s="471"/>
      <c r="AH10" s="471"/>
      <c r="AI10" s="468"/>
      <c r="AJ10" s="471"/>
      <c r="AK10" s="471"/>
      <c r="AL10" s="471"/>
      <c r="AM10" s="472"/>
      <c r="AO10" s="570"/>
      <c r="AP10" s="353" t="s">
        <v>866</v>
      </c>
      <c r="AQ10" s="354">
        <v>8</v>
      </c>
      <c r="AR10" s="354">
        <v>13</v>
      </c>
      <c r="AS10" s="354">
        <v>12.231617647058824</v>
      </c>
      <c r="AT10" s="354">
        <v>15</v>
      </c>
      <c r="AU10" s="354">
        <v>13</v>
      </c>
      <c r="AV10" s="470"/>
      <c r="AW10" s="470">
        <v>34</v>
      </c>
    </row>
    <row r="11" spans="2:49" customFormat="1" ht="16.5" thickBot="1" x14ac:dyDescent="0.3">
      <c r="AD11" s="568" t="s">
        <v>871</v>
      </c>
      <c r="AE11" s="568"/>
      <c r="AF11" s="462">
        <v>3</v>
      </c>
      <c r="AG11" s="462">
        <v>11</v>
      </c>
      <c r="AH11" s="462">
        <v>8</v>
      </c>
      <c r="AI11" s="426"/>
      <c r="AJ11" s="473">
        <v>0.5</v>
      </c>
      <c r="AK11" s="473">
        <v>0.39285714285714285</v>
      </c>
      <c r="AL11" s="473">
        <v>0.25806451612903225</v>
      </c>
      <c r="AM11" s="378"/>
      <c r="AO11" s="579"/>
      <c r="AP11" s="579"/>
      <c r="AQ11" s="579"/>
      <c r="AR11" s="579"/>
      <c r="AS11" s="579"/>
      <c r="AT11" s="579"/>
      <c r="AU11" s="579"/>
      <c r="AV11" s="579"/>
      <c r="AW11" s="579"/>
    </row>
    <row r="12" spans="2:49" customFormat="1" ht="16.5" thickBot="1" x14ac:dyDescent="0.3">
      <c r="AD12" s="568" t="s">
        <v>597</v>
      </c>
      <c r="AE12" s="568"/>
      <c r="AF12" s="462">
        <v>4</v>
      </c>
      <c r="AG12" s="462">
        <v>21</v>
      </c>
      <c r="AH12" s="462">
        <v>12</v>
      </c>
      <c r="AI12" s="426"/>
      <c r="AJ12" s="473">
        <v>0.66666666666666663</v>
      </c>
      <c r="AK12" s="473">
        <v>0.75</v>
      </c>
      <c r="AL12" s="473">
        <v>0.38709677419354838</v>
      </c>
      <c r="AM12" s="378"/>
    </row>
    <row r="13" spans="2:49" customFormat="1" ht="16.5" thickBot="1" x14ac:dyDescent="0.3">
      <c r="AD13" s="568" t="s">
        <v>242</v>
      </c>
      <c r="AE13" s="568"/>
      <c r="AF13" s="462">
        <v>3</v>
      </c>
      <c r="AG13" s="462">
        <v>14</v>
      </c>
      <c r="AH13" s="462">
        <v>16</v>
      </c>
      <c r="AI13" s="426"/>
      <c r="AJ13" s="473">
        <v>0.5</v>
      </c>
      <c r="AK13" s="473">
        <v>0.5</v>
      </c>
      <c r="AL13" s="473">
        <v>0.5161290322580645</v>
      </c>
      <c r="AM13" s="378"/>
    </row>
    <row r="14" spans="2:49" customFormat="1" ht="16.5" thickBot="1" x14ac:dyDescent="0.3">
      <c r="V14" s="84"/>
      <c r="AD14" s="568" t="s">
        <v>872</v>
      </c>
      <c r="AE14" s="568"/>
      <c r="AF14" s="462">
        <v>0</v>
      </c>
      <c r="AG14" s="462">
        <v>3</v>
      </c>
      <c r="AH14" s="462">
        <v>10</v>
      </c>
      <c r="AI14" s="426"/>
      <c r="AJ14" s="473">
        <v>0</v>
      </c>
      <c r="AK14" s="473">
        <v>0.10714285714285714</v>
      </c>
      <c r="AL14" s="473">
        <v>0.32258064516129031</v>
      </c>
      <c r="AM14" s="378"/>
    </row>
    <row r="15" spans="2:49" customFormat="1" ht="16.5" thickBot="1" x14ac:dyDescent="0.3">
      <c r="V15" s="84"/>
      <c r="AD15" s="568" t="s">
        <v>873</v>
      </c>
      <c r="AE15" s="568"/>
      <c r="AF15" s="474">
        <v>1</v>
      </c>
      <c r="AG15" s="474">
        <v>1</v>
      </c>
      <c r="AH15" s="474">
        <v>0.25</v>
      </c>
      <c r="AI15" s="475"/>
      <c r="AJ15" s="475" t="s">
        <v>484</v>
      </c>
      <c r="AK15" s="475" t="s">
        <v>484</v>
      </c>
      <c r="AL15" s="475" t="s">
        <v>484</v>
      </c>
      <c r="AM15" s="426"/>
    </row>
    <row r="16" spans="2:49" customFormat="1" ht="138.6" customHeight="1" thickTop="1" x14ac:dyDescent="0.25">
      <c r="V16" s="84"/>
      <c r="AD16" s="576" t="s">
        <v>48</v>
      </c>
      <c r="AE16" s="576"/>
      <c r="AF16" s="577" t="s">
        <v>485</v>
      </c>
      <c r="AG16" s="577"/>
      <c r="AH16" s="577"/>
      <c r="AI16" s="577"/>
      <c r="AJ16" s="577"/>
      <c r="AK16" s="577"/>
      <c r="AL16" s="577"/>
      <c r="AM16" s="378"/>
    </row>
    <row r="17" spans="2:50" customFormat="1" ht="15.75" x14ac:dyDescent="0.25">
      <c r="V17" s="84"/>
      <c r="AD17" s="476"/>
      <c r="AE17" s="476"/>
      <c r="AF17" s="378"/>
      <c r="AG17" s="378"/>
      <c r="AH17" s="378"/>
      <c r="AI17" s="378"/>
      <c r="AJ17" s="378"/>
      <c r="AK17" s="378"/>
      <c r="AL17" s="378"/>
      <c r="AM17" s="378"/>
    </row>
    <row r="18" spans="2:50" customFormat="1" ht="15.75" customHeight="1" x14ac:dyDescent="0.25">
      <c r="AC18" s="29"/>
      <c r="AD18" s="29"/>
      <c r="AE18" s="29"/>
      <c r="AF18" s="29"/>
      <c r="AG18" s="29"/>
      <c r="AH18" s="29"/>
      <c r="AI18" s="29"/>
      <c r="AJ18" s="29"/>
      <c r="AK18" s="29"/>
      <c r="AL18" s="29"/>
      <c r="AM18" s="29"/>
      <c r="AN18" s="29"/>
      <c r="AO18" s="29"/>
      <c r="AP18" s="29"/>
      <c r="AQ18" s="29"/>
      <c r="AR18" s="29"/>
      <c r="AS18" s="29"/>
      <c r="AT18" s="29"/>
      <c r="AU18" s="29"/>
      <c r="AV18" s="29"/>
      <c r="AW18" s="29"/>
      <c r="AX18" s="29"/>
    </row>
    <row r="19" spans="2:50" customFormat="1" ht="18.75" customHeight="1" x14ac:dyDescent="0.25">
      <c r="B19" s="40" t="s">
        <v>874</v>
      </c>
      <c r="C19" s="40"/>
      <c r="D19" s="40"/>
      <c r="E19" s="40"/>
      <c r="F19" s="40"/>
      <c r="G19" s="40"/>
      <c r="H19" s="40"/>
      <c r="I19" s="40"/>
      <c r="J19" s="40"/>
      <c r="K19" s="40"/>
      <c r="L19" s="40"/>
      <c r="M19" s="40"/>
      <c r="N19" s="40"/>
      <c r="O19" s="310"/>
      <c r="Q19" s="18"/>
      <c r="R19" s="40" t="s">
        <v>875</v>
      </c>
      <c r="S19" s="40"/>
      <c r="T19" s="40"/>
      <c r="U19" s="40"/>
      <c r="V19" s="40"/>
      <c r="W19" s="40"/>
      <c r="X19" s="40"/>
      <c r="Y19" s="40"/>
      <c r="Z19" s="40"/>
      <c r="AC19" s="29"/>
      <c r="AD19" s="29"/>
      <c r="AE19" s="29"/>
      <c r="AF19" s="29"/>
      <c r="AG19" s="29"/>
      <c r="AH19" s="29"/>
      <c r="AI19" s="29"/>
      <c r="AJ19" s="29"/>
      <c r="AK19" s="29"/>
      <c r="AL19" s="29"/>
      <c r="AM19" s="29"/>
      <c r="AN19" s="29"/>
      <c r="AO19" s="29"/>
      <c r="AP19" s="29"/>
      <c r="AQ19" s="29"/>
      <c r="AR19" s="29"/>
      <c r="AS19" s="29"/>
      <c r="AT19" s="29"/>
      <c r="AU19" s="29"/>
      <c r="AV19" s="29"/>
      <c r="AW19" s="29"/>
      <c r="AX19" s="29"/>
    </row>
    <row r="20" spans="2:50" customFormat="1" ht="18.75" customHeight="1" thickBot="1" x14ac:dyDescent="0.3">
      <c r="B20" s="41" t="s">
        <v>876</v>
      </c>
      <c r="C20" s="41"/>
      <c r="D20" s="41"/>
      <c r="E20" s="41"/>
      <c r="F20" s="41"/>
      <c r="G20" s="41"/>
      <c r="H20" s="41"/>
      <c r="I20" s="41"/>
      <c r="J20" s="41"/>
      <c r="K20" s="41"/>
      <c r="L20" s="41"/>
      <c r="M20" s="41"/>
      <c r="N20" s="41"/>
      <c r="O20" s="310"/>
      <c r="Q20" s="18"/>
      <c r="R20" s="40" t="s">
        <v>877</v>
      </c>
      <c r="S20" s="40"/>
      <c r="T20" s="40"/>
      <c r="U20" s="40"/>
      <c r="V20" s="40"/>
      <c r="W20" s="40"/>
      <c r="X20" s="40"/>
      <c r="Y20" s="40"/>
      <c r="Z20" s="40"/>
      <c r="AC20" s="29"/>
      <c r="AD20" s="29"/>
      <c r="AE20" s="29"/>
      <c r="AF20" s="29"/>
      <c r="AG20" s="29"/>
      <c r="AH20" s="29"/>
      <c r="AI20" s="29"/>
      <c r="AJ20" s="29"/>
      <c r="AK20" s="29"/>
      <c r="AL20" s="29"/>
      <c r="AM20" s="29"/>
      <c r="AN20" s="29"/>
      <c r="AO20" s="29"/>
      <c r="AP20" s="29"/>
      <c r="AQ20" s="29"/>
      <c r="AR20" s="29"/>
      <c r="AS20" s="29"/>
      <c r="AT20" s="29"/>
      <c r="AU20" s="29"/>
      <c r="AV20" s="29"/>
      <c r="AW20" s="29"/>
      <c r="AX20" s="29"/>
    </row>
    <row r="21" spans="2:50" customFormat="1" ht="33" thickTop="1" thickBot="1" x14ac:dyDescent="0.3">
      <c r="B21" s="477" t="s">
        <v>878</v>
      </c>
      <c r="C21" s="455" t="s">
        <v>475</v>
      </c>
      <c r="D21" s="455" t="s">
        <v>476</v>
      </c>
      <c r="E21" s="455" t="s">
        <v>477</v>
      </c>
      <c r="F21" s="455" t="s">
        <v>478</v>
      </c>
      <c r="G21" s="455" t="s">
        <v>434</v>
      </c>
      <c r="H21" s="43"/>
      <c r="I21" s="478" t="s">
        <v>878</v>
      </c>
      <c r="J21" s="455" t="s">
        <v>475</v>
      </c>
      <c r="K21" s="455" t="s">
        <v>476</v>
      </c>
      <c r="L21" s="455" t="s">
        <v>477</v>
      </c>
      <c r="M21" s="455" t="s">
        <v>478</v>
      </c>
      <c r="N21" s="455" t="s">
        <v>434</v>
      </c>
      <c r="O21" s="17"/>
      <c r="Q21" s="19"/>
      <c r="R21" s="40" t="s">
        <v>876</v>
      </c>
      <c r="S21" s="40"/>
      <c r="T21" s="40"/>
      <c r="U21" s="40"/>
      <c r="V21" s="40"/>
      <c r="W21" s="40"/>
      <c r="X21" s="40"/>
      <c r="Y21" s="40"/>
      <c r="Z21" s="40"/>
      <c r="AA21" s="18"/>
      <c r="AB21" s="18"/>
      <c r="AC21" s="29"/>
      <c r="AD21" s="29"/>
      <c r="AE21" s="29"/>
      <c r="AF21" s="29"/>
      <c r="AG21" s="29"/>
      <c r="AH21" s="29"/>
      <c r="AI21" s="29"/>
      <c r="AJ21" s="29"/>
      <c r="AK21" s="29"/>
      <c r="AL21" s="29"/>
      <c r="AM21" s="29"/>
      <c r="AN21" s="29"/>
      <c r="AO21" s="29"/>
      <c r="AP21" s="29"/>
      <c r="AQ21" s="29"/>
      <c r="AR21" s="29"/>
      <c r="AS21" s="29"/>
      <c r="AT21" s="29"/>
      <c r="AU21" s="29"/>
      <c r="AV21" s="29"/>
      <c r="AW21" s="29"/>
      <c r="AX21" s="29"/>
    </row>
    <row r="22" spans="2:50" customFormat="1" ht="16.5" customHeight="1" thickTop="1" thickBot="1" x14ac:dyDescent="0.3">
      <c r="B22" s="423" t="s">
        <v>487</v>
      </c>
      <c r="C22" s="458">
        <v>40</v>
      </c>
      <c r="D22" s="458">
        <v>96</v>
      </c>
      <c r="E22" s="458">
        <v>99.857142857142861</v>
      </c>
      <c r="F22" s="458">
        <v>168</v>
      </c>
      <c r="G22" s="458">
        <v>112</v>
      </c>
      <c r="H22" s="427"/>
      <c r="I22" s="479" t="s">
        <v>488</v>
      </c>
      <c r="J22" s="458">
        <v>144</v>
      </c>
      <c r="K22" s="458">
        <v>160</v>
      </c>
      <c r="L22" s="458">
        <v>160.90370370370368</v>
      </c>
      <c r="M22" s="458">
        <v>200</v>
      </c>
      <c r="N22" s="458">
        <v>160</v>
      </c>
      <c r="O22" s="426"/>
      <c r="Q22" s="19"/>
      <c r="AC22" s="29"/>
      <c r="AD22" s="29"/>
      <c r="AE22" s="29"/>
      <c r="AF22" s="29"/>
      <c r="AG22" s="29"/>
      <c r="AH22" s="29"/>
      <c r="AI22" s="29"/>
      <c r="AJ22" s="29"/>
      <c r="AK22" s="29"/>
      <c r="AL22" s="29"/>
      <c r="AM22" s="29"/>
      <c r="AN22" s="29"/>
      <c r="AO22" s="29"/>
      <c r="AP22" s="29"/>
      <c r="AQ22" s="29"/>
      <c r="AR22" s="29"/>
      <c r="AS22" s="29"/>
      <c r="AT22" s="29"/>
      <c r="AU22" s="29"/>
      <c r="AV22" s="29"/>
      <c r="AW22" s="29"/>
      <c r="AX22" s="29"/>
    </row>
    <row r="23" spans="2:50" customFormat="1" ht="16.5" customHeight="1" thickBot="1" x14ac:dyDescent="0.3">
      <c r="B23" s="428" t="s">
        <v>489</v>
      </c>
      <c r="C23" s="480">
        <v>80</v>
      </c>
      <c r="D23" s="480">
        <v>96</v>
      </c>
      <c r="E23" s="480">
        <v>101.44444444444444</v>
      </c>
      <c r="F23" s="480">
        <v>136</v>
      </c>
      <c r="G23" s="480">
        <v>112</v>
      </c>
      <c r="H23" s="427"/>
      <c r="I23" s="481" t="s">
        <v>490</v>
      </c>
      <c r="J23" s="480">
        <v>144</v>
      </c>
      <c r="K23" s="480">
        <v>168</v>
      </c>
      <c r="L23" s="480">
        <v>170.90370370370368</v>
      </c>
      <c r="M23" s="480">
        <v>200</v>
      </c>
      <c r="N23" s="480">
        <v>176</v>
      </c>
      <c r="O23" s="426"/>
      <c r="AC23" s="29"/>
      <c r="AD23" s="29"/>
      <c r="AE23" s="29"/>
      <c r="AF23" s="29"/>
      <c r="AG23" s="29"/>
      <c r="AH23" s="29"/>
      <c r="AI23" s="29"/>
      <c r="AJ23" s="29"/>
      <c r="AK23" s="29"/>
      <c r="AL23" s="29"/>
      <c r="AM23" s="29"/>
      <c r="AN23" s="29"/>
      <c r="AO23" s="29"/>
      <c r="AP23" s="29"/>
      <c r="AQ23" s="29"/>
      <c r="AR23" s="29"/>
      <c r="AS23" s="29"/>
      <c r="AT23" s="29"/>
      <c r="AU23" s="29"/>
      <c r="AV23" s="29"/>
      <c r="AW23" s="29"/>
      <c r="AX23" s="29"/>
    </row>
    <row r="24" spans="2:50" customFormat="1" ht="16.5" customHeight="1" thickBot="1" x14ac:dyDescent="0.3">
      <c r="B24" s="436" t="s">
        <v>491</v>
      </c>
      <c r="C24" s="482">
        <v>80</v>
      </c>
      <c r="D24" s="482">
        <v>104</v>
      </c>
      <c r="E24" s="482">
        <v>105.07407407407408</v>
      </c>
      <c r="F24" s="482">
        <v>136</v>
      </c>
      <c r="G24" s="482">
        <v>120</v>
      </c>
      <c r="H24" s="427"/>
      <c r="I24" s="483" t="s">
        <v>492</v>
      </c>
      <c r="J24" s="482">
        <v>156</v>
      </c>
      <c r="K24" s="482">
        <v>168</v>
      </c>
      <c r="L24" s="482">
        <v>175.79259259259257</v>
      </c>
      <c r="M24" s="482">
        <v>200</v>
      </c>
      <c r="N24" s="482">
        <v>176</v>
      </c>
      <c r="O24" s="426"/>
      <c r="AC24" s="29"/>
      <c r="AD24" s="29"/>
      <c r="AE24" s="29"/>
      <c r="AF24" s="29"/>
      <c r="AG24" s="29"/>
      <c r="AH24" s="29"/>
      <c r="AI24" s="29"/>
      <c r="AJ24" s="29"/>
      <c r="AK24" s="29"/>
      <c r="AL24" s="29"/>
      <c r="AM24" s="29"/>
      <c r="AN24" s="29"/>
      <c r="AO24" s="29"/>
      <c r="AP24" s="29"/>
      <c r="AQ24" s="29"/>
      <c r="AR24" s="29"/>
      <c r="AS24" s="29"/>
      <c r="AT24" s="29"/>
      <c r="AU24" s="29"/>
      <c r="AV24" s="29"/>
      <c r="AW24" s="29"/>
      <c r="AX24" s="29"/>
    </row>
    <row r="25" spans="2:50" customFormat="1" ht="16.5" customHeight="1" thickBot="1" x14ac:dyDescent="0.3">
      <c r="B25" s="428" t="s">
        <v>493</v>
      </c>
      <c r="C25" s="480">
        <v>80</v>
      </c>
      <c r="D25" s="480">
        <v>112</v>
      </c>
      <c r="E25" s="480">
        <v>109.66666666666667</v>
      </c>
      <c r="F25" s="480">
        <v>136</v>
      </c>
      <c r="G25" s="480">
        <v>128</v>
      </c>
      <c r="H25" s="427"/>
      <c r="I25" s="481" t="s">
        <v>494</v>
      </c>
      <c r="J25" s="480">
        <v>156</v>
      </c>
      <c r="K25" s="480">
        <v>168</v>
      </c>
      <c r="L25" s="480">
        <v>176.90370370370368</v>
      </c>
      <c r="M25" s="480">
        <v>200</v>
      </c>
      <c r="N25" s="480">
        <v>176</v>
      </c>
      <c r="O25" s="426"/>
      <c r="AC25" s="29"/>
      <c r="AD25" s="29"/>
      <c r="AE25" s="29"/>
      <c r="AF25" s="29"/>
      <c r="AG25" s="29"/>
      <c r="AH25" s="29"/>
      <c r="AI25" s="29"/>
      <c r="AJ25" s="29"/>
      <c r="AK25" s="29"/>
      <c r="AL25" s="29"/>
      <c r="AM25" s="29"/>
      <c r="AN25" s="29"/>
      <c r="AO25" s="29"/>
      <c r="AP25" s="29"/>
      <c r="AQ25" s="29"/>
      <c r="AR25" s="29"/>
      <c r="AS25" s="29"/>
      <c r="AT25" s="29"/>
      <c r="AU25" s="29"/>
      <c r="AV25" s="29"/>
      <c r="AW25" s="29"/>
      <c r="AX25" s="29"/>
    </row>
    <row r="26" spans="2:50" customFormat="1" ht="16.5" customHeight="1" thickBot="1" x14ac:dyDescent="0.3">
      <c r="B26" s="436" t="s">
        <v>495</v>
      </c>
      <c r="C26" s="482">
        <v>96</v>
      </c>
      <c r="D26" s="482">
        <v>120</v>
      </c>
      <c r="E26" s="482">
        <v>120.5925925925926</v>
      </c>
      <c r="F26" s="482">
        <v>160</v>
      </c>
      <c r="G26" s="482">
        <v>136</v>
      </c>
      <c r="H26" s="427"/>
      <c r="I26" s="483" t="s">
        <v>496</v>
      </c>
      <c r="J26" s="482">
        <v>156</v>
      </c>
      <c r="K26" s="482">
        <v>176</v>
      </c>
      <c r="L26" s="482">
        <v>178.82962962962961</v>
      </c>
      <c r="M26" s="482">
        <v>216</v>
      </c>
      <c r="N26" s="482">
        <v>176</v>
      </c>
      <c r="O26" s="426"/>
      <c r="AC26" s="29"/>
      <c r="AD26" s="29"/>
      <c r="AE26" s="29"/>
      <c r="AF26" s="29"/>
      <c r="AG26" s="29"/>
      <c r="AH26" s="29"/>
      <c r="AI26" s="29"/>
      <c r="AJ26" s="29"/>
      <c r="AK26" s="29"/>
      <c r="AL26" s="29"/>
      <c r="AM26" s="29"/>
      <c r="AN26" s="29"/>
      <c r="AO26" s="29"/>
      <c r="AP26" s="29"/>
      <c r="AQ26" s="29"/>
      <c r="AR26" s="29"/>
      <c r="AS26" s="29"/>
      <c r="AT26" s="29"/>
      <c r="AU26" s="29"/>
      <c r="AV26" s="29"/>
      <c r="AW26" s="29"/>
      <c r="AX26" s="29"/>
    </row>
    <row r="27" spans="2:50" customFormat="1" ht="16.5" customHeight="1" thickBot="1" x14ac:dyDescent="0.3">
      <c r="B27" s="428" t="s">
        <v>497</v>
      </c>
      <c r="C27" s="480">
        <v>120</v>
      </c>
      <c r="D27" s="480">
        <v>126</v>
      </c>
      <c r="E27" s="480">
        <v>132.2962962962963</v>
      </c>
      <c r="F27" s="480">
        <v>192</v>
      </c>
      <c r="G27" s="480">
        <v>136</v>
      </c>
      <c r="H27" s="427"/>
      <c r="I27" s="481" t="s">
        <v>498</v>
      </c>
      <c r="J27" s="480">
        <v>156</v>
      </c>
      <c r="K27" s="480">
        <v>176.4</v>
      </c>
      <c r="L27" s="480">
        <v>180.23703703703703</v>
      </c>
      <c r="M27" s="480">
        <v>216</v>
      </c>
      <c r="N27" s="480">
        <v>176</v>
      </c>
      <c r="O27" s="426"/>
      <c r="AC27" s="29"/>
      <c r="AD27" s="29"/>
      <c r="AE27" s="29"/>
      <c r="AF27" s="29"/>
      <c r="AG27" s="29"/>
      <c r="AH27" s="29"/>
      <c r="AI27" s="29"/>
      <c r="AJ27" s="29"/>
      <c r="AK27" s="29"/>
      <c r="AL27" s="29"/>
      <c r="AM27" s="29"/>
      <c r="AN27" s="29"/>
      <c r="AO27" s="29"/>
      <c r="AP27" s="29"/>
      <c r="AQ27" s="29"/>
      <c r="AR27" s="29"/>
      <c r="AS27" s="29"/>
      <c r="AT27" s="29"/>
      <c r="AU27" s="29"/>
      <c r="AV27" s="29"/>
      <c r="AW27" s="29"/>
      <c r="AX27" s="29"/>
    </row>
    <row r="28" spans="2:50" customFormat="1" ht="16.5" customHeight="1" thickBot="1" x14ac:dyDescent="0.3">
      <c r="B28" s="436" t="s">
        <v>499</v>
      </c>
      <c r="C28" s="482">
        <v>120</v>
      </c>
      <c r="D28" s="482">
        <v>128</v>
      </c>
      <c r="E28" s="482">
        <v>133.81481481481481</v>
      </c>
      <c r="F28" s="482">
        <v>192</v>
      </c>
      <c r="G28" s="482">
        <v>144</v>
      </c>
      <c r="H28" s="427"/>
      <c r="I28" s="483" t="s">
        <v>500</v>
      </c>
      <c r="J28" s="482">
        <v>156</v>
      </c>
      <c r="K28" s="482">
        <v>192</v>
      </c>
      <c r="L28" s="482">
        <v>189.94074074074072</v>
      </c>
      <c r="M28" s="482">
        <v>240</v>
      </c>
      <c r="N28" s="482">
        <v>192</v>
      </c>
      <c r="O28" s="426"/>
      <c r="AC28" s="29"/>
      <c r="AD28" s="29"/>
      <c r="AE28" s="29"/>
      <c r="AF28" s="29"/>
      <c r="AG28" s="29"/>
      <c r="AH28" s="29"/>
      <c r="AI28" s="29"/>
      <c r="AJ28" s="29"/>
      <c r="AK28" s="29"/>
      <c r="AL28" s="29"/>
      <c r="AM28" s="29"/>
      <c r="AN28" s="29"/>
      <c r="AO28" s="29"/>
      <c r="AP28" s="29"/>
      <c r="AQ28" s="29"/>
      <c r="AR28" s="29"/>
      <c r="AS28" s="29"/>
      <c r="AT28" s="29"/>
      <c r="AU28" s="29"/>
      <c r="AV28" s="29"/>
      <c r="AW28" s="29"/>
      <c r="AX28" s="29"/>
    </row>
    <row r="29" spans="2:50" customFormat="1" ht="16.5" customHeight="1" thickBot="1" x14ac:dyDescent="0.3">
      <c r="B29" s="428" t="s">
        <v>501</v>
      </c>
      <c r="C29" s="480">
        <v>120</v>
      </c>
      <c r="D29" s="480">
        <v>135</v>
      </c>
      <c r="E29" s="480">
        <v>137.07407407407408</v>
      </c>
      <c r="F29" s="480">
        <v>192</v>
      </c>
      <c r="G29" s="480">
        <v>144</v>
      </c>
      <c r="H29" s="427"/>
      <c r="I29" s="481" t="s">
        <v>502</v>
      </c>
      <c r="J29" s="480">
        <v>168</v>
      </c>
      <c r="K29" s="480">
        <v>192</v>
      </c>
      <c r="L29" s="480">
        <v>192.45925925925926</v>
      </c>
      <c r="M29" s="480">
        <v>240</v>
      </c>
      <c r="N29" s="480">
        <v>192</v>
      </c>
      <c r="O29" s="426"/>
      <c r="AC29" s="29"/>
      <c r="AD29" s="29"/>
      <c r="AE29" s="29"/>
      <c r="AF29" s="29"/>
      <c r="AG29" s="29"/>
      <c r="AH29" s="29"/>
      <c r="AI29" s="29"/>
      <c r="AJ29" s="29"/>
      <c r="AK29" s="29"/>
      <c r="AL29" s="29"/>
      <c r="AM29" s="29"/>
      <c r="AN29" s="29"/>
      <c r="AO29" s="29"/>
      <c r="AP29" s="29"/>
      <c r="AQ29" s="29"/>
      <c r="AR29" s="29"/>
      <c r="AS29" s="29"/>
      <c r="AT29" s="29"/>
      <c r="AU29" s="29"/>
      <c r="AV29" s="29"/>
      <c r="AW29" s="29"/>
      <c r="AX29" s="29"/>
    </row>
    <row r="30" spans="2:50" customFormat="1" ht="16.5" customHeight="1" thickBot="1" x14ac:dyDescent="0.3">
      <c r="B30" s="436" t="s">
        <v>503</v>
      </c>
      <c r="C30" s="482">
        <v>120</v>
      </c>
      <c r="D30" s="482">
        <v>136</v>
      </c>
      <c r="E30" s="482">
        <v>138</v>
      </c>
      <c r="F30" s="482">
        <v>192</v>
      </c>
      <c r="G30" s="482">
        <v>144</v>
      </c>
      <c r="H30" s="427"/>
      <c r="I30" s="483" t="s">
        <v>504</v>
      </c>
      <c r="J30" s="482">
        <v>168</v>
      </c>
      <c r="K30" s="482">
        <v>192</v>
      </c>
      <c r="L30" s="482">
        <v>195.12592592592591</v>
      </c>
      <c r="M30" s="482">
        <v>240</v>
      </c>
      <c r="N30" s="482">
        <v>192</v>
      </c>
      <c r="O30" s="426"/>
      <c r="AC30" s="29"/>
      <c r="AD30" s="29"/>
      <c r="AE30" s="29"/>
      <c r="AF30" s="29"/>
      <c r="AG30" s="29"/>
      <c r="AH30" s="29"/>
      <c r="AI30" s="29"/>
      <c r="AJ30" s="29"/>
      <c r="AK30" s="29"/>
      <c r="AL30" s="29"/>
      <c r="AM30" s="29"/>
      <c r="AN30" s="29"/>
      <c r="AO30" s="29"/>
      <c r="AP30" s="29"/>
      <c r="AQ30" s="29"/>
      <c r="AR30" s="29"/>
      <c r="AS30" s="29"/>
      <c r="AT30" s="29"/>
      <c r="AU30" s="29"/>
      <c r="AV30" s="29"/>
      <c r="AW30" s="29"/>
      <c r="AX30" s="29"/>
    </row>
    <row r="31" spans="2:50" customFormat="1" ht="16.5" customHeight="1" thickBot="1" x14ac:dyDescent="0.3">
      <c r="B31" s="428" t="s">
        <v>505</v>
      </c>
      <c r="C31" s="480">
        <v>120</v>
      </c>
      <c r="D31" s="480">
        <v>144</v>
      </c>
      <c r="E31" s="480">
        <v>151.27407407407406</v>
      </c>
      <c r="F31" s="480">
        <v>200</v>
      </c>
      <c r="G31" s="480">
        <v>160</v>
      </c>
      <c r="H31" s="427"/>
      <c r="I31" s="481" t="s">
        <v>506</v>
      </c>
      <c r="J31" s="480">
        <v>168</v>
      </c>
      <c r="K31" s="480">
        <v>198</v>
      </c>
      <c r="L31" s="480">
        <v>196.75555555555553</v>
      </c>
      <c r="M31" s="480">
        <v>240</v>
      </c>
      <c r="N31" s="480">
        <v>192</v>
      </c>
      <c r="O31" s="426"/>
      <c r="AC31" s="29"/>
      <c r="AD31" s="29"/>
      <c r="AE31" s="29"/>
      <c r="AF31" s="29"/>
      <c r="AG31" s="29"/>
      <c r="AH31" s="29"/>
      <c r="AI31" s="29"/>
      <c r="AJ31" s="29"/>
      <c r="AK31" s="29"/>
      <c r="AL31" s="29"/>
      <c r="AM31" s="29"/>
      <c r="AN31" s="29"/>
      <c r="AO31" s="29"/>
      <c r="AP31" s="29"/>
      <c r="AQ31" s="29"/>
      <c r="AR31" s="29"/>
      <c r="AS31" s="29"/>
      <c r="AT31" s="29"/>
      <c r="AU31" s="29"/>
      <c r="AV31" s="29"/>
      <c r="AW31" s="29"/>
      <c r="AX31" s="29"/>
    </row>
    <row r="32" spans="2:50" customFormat="1" ht="16.5" customHeight="1" thickBot="1" x14ac:dyDescent="0.3">
      <c r="B32" s="436" t="s">
        <v>507</v>
      </c>
      <c r="C32" s="482">
        <v>136</v>
      </c>
      <c r="D32" s="482">
        <v>152.4</v>
      </c>
      <c r="E32" s="482">
        <v>157.27407407407406</v>
      </c>
      <c r="F32" s="482">
        <v>200</v>
      </c>
      <c r="G32" s="482">
        <v>160</v>
      </c>
      <c r="H32" s="427"/>
      <c r="I32" s="483" t="s">
        <v>508</v>
      </c>
      <c r="J32" s="482">
        <v>168</v>
      </c>
      <c r="K32" s="482">
        <v>198</v>
      </c>
      <c r="L32" s="482">
        <v>197.94074074074072</v>
      </c>
      <c r="M32" s="482">
        <v>240</v>
      </c>
      <c r="N32" s="482">
        <v>192</v>
      </c>
      <c r="O32" s="426"/>
      <c r="AC32" s="29"/>
      <c r="AD32" s="29"/>
      <c r="AE32" s="29"/>
      <c r="AF32" s="29"/>
      <c r="AG32" s="29"/>
      <c r="AH32" s="29"/>
      <c r="AI32" s="29"/>
      <c r="AJ32" s="29"/>
      <c r="AK32" s="29"/>
      <c r="AL32" s="29"/>
      <c r="AM32" s="29"/>
      <c r="AN32" s="29"/>
      <c r="AO32" s="29"/>
      <c r="AP32" s="29"/>
      <c r="AQ32" s="29"/>
      <c r="AR32" s="29"/>
      <c r="AS32" s="29"/>
      <c r="AT32" s="29"/>
      <c r="AU32" s="29"/>
      <c r="AV32" s="29"/>
      <c r="AW32" s="29"/>
      <c r="AX32" s="29"/>
    </row>
    <row r="33" spans="2:50" customFormat="1" ht="16.5" customHeight="1" thickBot="1" x14ac:dyDescent="0.3">
      <c r="B33" s="428" t="s">
        <v>509</v>
      </c>
      <c r="C33" s="480">
        <v>136</v>
      </c>
      <c r="D33" s="480">
        <v>152.4</v>
      </c>
      <c r="E33" s="480">
        <v>157.57037037037037</v>
      </c>
      <c r="F33" s="480">
        <v>200</v>
      </c>
      <c r="G33" s="480">
        <v>160</v>
      </c>
      <c r="H33" s="427"/>
      <c r="I33" s="481" t="s">
        <v>510</v>
      </c>
      <c r="J33" s="480">
        <v>168</v>
      </c>
      <c r="K33" s="480">
        <v>200.4</v>
      </c>
      <c r="L33" s="480">
        <v>204.0148148148148</v>
      </c>
      <c r="M33" s="480">
        <v>240</v>
      </c>
      <c r="N33" s="480">
        <v>200</v>
      </c>
      <c r="O33" s="426"/>
      <c r="AC33" s="29"/>
      <c r="AD33" s="29"/>
      <c r="AE33" s="29"/>
      <c r="AF33" s="29"/>
      <c r="AG33" s="29"/>
      <c r="AH33" s="29"/>
      <c r="AI33" s="29"/>
      <c r="AJ33" s="29"/>
      <c r="AK33" s="29"/>
      <c r="AL33" s="29"/>
      <c r="AM33" s="29"/>
      <c r="AN33" s="29"/>
      <c r="AO33" s="29"/>
      <c r="AP33" s="29"/>
      <c r="AQ33" s="29"/>
      <c r="AR33" s="29"/>
      <c r="AS33" s="29"/>
      <c r="AT33" s="29"/>
      <c r="AU33" s="29"/>
      <c r="AV33" s="29"/>
      <c r="AW33" s="29"/>
      <c r="AX33" s="29"/>
    </row>
    <row r="34" spans="2:50" customFormat="1" ht="16.5" customHeight="1" thickBot="1" x14ac:dyDescent="0.3">
      <c r="B34" s="436" t="s">
        <v>599</v>
      </c>
      <c r="C34" s="482">
        <v>136</v>
      </c>
      <c r="D34" s="482">
        <v>156</v>
      </c>
      <c r="E34" s="482">
        <v>158.53333333333333</v>
      </c>
      <c r="F34" s="482">
        <v>200</v>
      </c>
      <c r="G34" s="482">
        <v>160</v>
      </c>
      <c r="H34" s="484"/>
      <c r="I34" s="483" t="s">
        <v>879</v>
      </c>
      <c r="J34" s="482">
        <v>168</v>
      </c>
      <c r="K34" s="482">
        <v>208</v>
      </c>
      <c r="L34" s="482">
        <v>207.27407407407406</v>
      </c>
      <c r="M34" s="482">
        <v>248</v>
      </c>
      <c r="N34" s="482">
        <v>200</v>
      </c>
      <c r="O34" s="426"/>
      <c r="AC34" s="29"/>
      <c r="AD34" s="29"/>
      <c r="AE34" s="29"/>
      <c r="AF34" s="29"/>
      <c r="AG34" s="29"/>
      <c r="AH34" s="29"/>
      <c r="AI34" s="29"/>
      <c r="AJ34" s="29"/>
      <c r="AK34" s="29"/>
      <c r="AL34" s="29"/>
      <c r="AM34" s="29"/>
      <c r="AN34" s="29"/>
      <c r="AO34" s="29"/>
      <c r="AP34" s="29"/>
      <c r="AQ34" s="29"/>
      <c r="AR34" s="29"/>
      <c r="AS34" s="29"/>
      <c r="AT34" s="29"/>
      <c r="AU34" s="29"/>
      <c r="AV34" s="29"/>
      <c r="AW34" s="29"/>
      <c r="AX34" s="29"/>
    </row>
    <row r="35" spans="2:50" customFormat="1" ht="15.75" customHeight="1" x14ac:dyDescent="0.25">
      <c r="B35" s="425"/>
      <c r="C35" s="426"/>
      <c r="D35" s="426"/>
      <c r="E35" s="426"/>
      <c r="F35" s="426"/>
      <c r="G35" s="426"/>
      <c r="H35" s="425"/>
      <c r="I35" s="426"/>
      <c r="J35" s="426"/>
      <c r="K35" s="426"/>
      <c r="L35" s="426"/>
      <c r="AC35" s="29"/>
      <c r="AD35" s="29"/>
      <c r="AE35" s="29"/>
      <c r="AF35" s="29"/>
      <c r="AG35" s="29"/>
      <c r="AH35" s="29"/>
      <c r="AI35" s="29"/>
      <c r="AJ35" s="29"/>
      <c r="AK35" s="29"/>
      <c r="AL35" s="29"/>
      <c r="AM35" s="29"/>
      <c r="AN35" s="29"/>
      <c r="AO35" s="29"/>
      <c r="AP35" s="29"/>
      <c r="AQ35" s="29"/>
      <c r="AR35" s="29"/>
      <c r="AS35" s="29"/>
      <c r="AT35" s="29"/>
      <c r="AU35" s="29"/>
      <c r="AV35" s="29"/>
      <c r="AW35" s="29"/>
      <c r="AX35" s="29"/>
    </row>
    <row r="36" spans="2:50" customFormat="1" ht="15.75" customHeight="1" x14ac:dyDescent="0.25">
      <c r="B36" s="425"/>
      <c r="C36" s="426"/>
      <c r="D36" s="426"/>
      <c r="E36" s="426"/>
      <c r="F36" s="426"/>
      <c r="G36" s="426"/>
      <c r="H36" s="425"/>
      <c r="I36" s="426"/>
      <c r="J36" s="426"/>
      <c r="K36" s="426"/>
      <c r="L36" s="426"/>
      <c r="AC36" s="29"/>
      <c r="AD36" s="29"/>
      <c r="AE36" s="29"/>
      <c r="AF36" s="29"/>
      <c r="AG36" s="29"/>
      <c r="AH36" s="29"/>
      <c r="AI36" s="29"/>
      <c r="AJ36" s="29"/>
      <c r="AK36" s="29"/>
      <c r="AL36" s="29"/>
      <c r="AM36" s="29"/>
      <c r="AN36" s="29"/>
      <c r="AO36" s="29"/>
      <c r="AP36" s="29"/>
      <c r="AQ36" s="29"/>
      <c r="AR36" s="29"/>
      <c r="AS36" s="29"/>
      <c r="AT36" s="29"/>
      <c r="AU36" s="29"/>
      <c r="AV36" s="29"/>
      <c r="AW36" s="29"/>
      <c r="AX36" s="29"/>
    </row>
    <row r="37" spans="2:50" customFormat="1" ht="15.75" customHeight="1" x14ac:dyDescent="0.25">
      <c r="B37" s="425"/>
      <c r="C37" s="426"/>
      <c r="D37" s="426"/>
      <c r="E37" s="426"/>
      <c r="F37" s="426"/>
      <c r="G37" s="426"/>
      <c r="H37" s="425"/>
      <c r="I37" s="426"/>
      <c r="J37" s="426"/>
      <c r="K37" s="426"/>
      <c r="L37" s="426"/>
      <c r="AC37" s="29"/>
      <c r="AD37" s="29"/>
      <c r="AE37" s="29"/>
      <c r="AF37" s="29"/>
      <c r="AG37" s="29"/>
      <c r="AH37" s="29"/>
      <c r="AI37" s="29"/>
      <c r="AJ37" s="29"/>
      <c r="AK37" s="29"/>
      <c r="AL37" s="29"/>
      <c r="AM37" s="29"/>
      <c r="AN37" s="29"/>
      <c r="AO37" s="29"/>
      <c r="AP37" s="29"/>
      <c r="AQ37" s="29"/>
      <c r="AR37" s="29"/>
      <c r="AS37" s="29"/>
      <c r="AT37" s="29"/>
      <c r="AU37" s="29"/>
      <c r="AV37" s="29"/>
      <c r="AW37" s="29"/>
      <c r="AX37" s="29"/>
    </row>
    <row r="38" spans="2:50" customFormat="1" ht="15.75" customHeight="1" x14ac:dyDescent="0.25">
      <c r="B38" s="425"/>
      <c r="C38" s="426"/>
      <c r="D38" s="426"/>
      <c r="E38" s="426"/>
      <c r="F38" s="426"/>
      <c r="G38" s="426"/>
      <c r="H38" s="425"/>
      <c r="I38" s="426"/>
      <c r="J38" s="426"/>
      <c r="K38" s="426"/>
      <c r="L38" s="426"/>
      <c r="AC38" s="29"/>
      <c r="AD38" s="29"/>
      <c r="AE38" s="29"/>
      <c r="AF38" s="29"/>
      <c r="AG38" s="29"/>
      <c r="AH38" s="29"/>
      <c r="AI38" s="29"/>
      <c r="AJ38" s="29"/>
      <c r="AK38" s="29"/>
      <c r="AL38" s="29"/>
      <c r="AM38" s="29"/>
      <c r="AN38" s="29"/>
      <c r="AO38" s="29"/>
      <c r="AP38" s="29"/>
      <c r="AQ38" s="29"/>
      <c r="AR38" s="29"/>
      <c r="AS38" s="29"/>
      <c r="AT38" s="29"/>
      <c r="AU38" s="29"/>
      <c r="AV38" s="29"/>
      <c r="AW38" s="29"/>
      <c r="AX38" s="29"/>
    </row>
    <row r="39" spans="2:50" customFormat="1" ht="15.75" customHeight="1" x14ac:dyDescent="0.25">
      <c r="AC39" s="29"/>
      <c r="AD39" s="29"/>
      <c r="AE39" s="29"/>
      <c r="AF39" s="29"/>
      <c r="AG39" s="29"/>
      <c r="AH39" s="29"/>
      <c r="AI39" s="29"/>
      <c r="AJ39" s="29"/>
      <c r="AK39" s="29"/>
      <c r="AL39" s="29"/>
      <c r="AM39" s="29"/>
      <c r="AN39" s="29"/>
      <c r="AO39" s="29"/>
      <c r="AP39" s="29"/>
      <c r="AQ39" s="29"/>
      <c r="AR39" s="29"/>
      <c r="AS39" s="29"/>
      <c r="AT39" s="29"/>
      <c r="AU39" s="29"/>
      <c r="AV39" s="29"/>
      <c r="AW39" s="29"/>
      <c r="AX39" s="29"/>
    </row>
    <row r="40" spans="2:50" customFormat="1" ht="15" customHeight="1" x14ac:dyDescent="0.25">
      <c r="P40" s="142"/>
      <c r="Q40" s="142"/>
      <c r="R40" s="142"/>
      <c r="S40" s="142"/>
      <c r="T40" s="142"/>
      <c r="U40" s="142"/>
      <c r="V40" s="142"/>
      <c r="W40" s="142"/>
      <c r="X40" s="142"/>
      <c r="Y40" s="142"/>
      <c r="Z40" s="142"/>
      <c r="AA40" s="142"/>
      <c r="AB40" s="142"/>
      <c r="AC40" s="142"/>
      <c r="AD40" s="142"/>
      <c r="AE40" s="142"/>
      <c r="AF40" s="142"/>
      <c r="AG40" s="142"/>
      <c r="AH40" s="142"/>
      <c r="AI40" s="142"/>
      <c r="AJ40" s="142"/>
      <c r="AK40" s="142"/>
      <c r="AL40" s="142"/>
      <c r="AM40" s="142"/>
      <c r="AN40" s="578" t="s">
        <v>486</v>
      </c>
      <c r="AO40" s="578"/>
      <c r="AP40" s="578"/>
      <c r="AQ40" s="578"/>
      <c r="AR40" s="578"/>
      <c r="AS40" s="578"/>
      <c r="AT40" s="578"/>
      <c r="AU40" s="578"/>
      <c r="AV40" s="578"/>
      <c r="AW40" s="578"/>
      <c r="AX40" s="578"/>
    </row>
    <row r="41" spans="2:50" customFormat="1" ht="18.75" customHeight="1" x14ac:dyDescent="0.25">
      <c r="B41" s="40" t="s">
        <v>880</v>
      </c>
      <c r="C41" s="40"/>
      <c r="D41" s="40"/>
      <c r="E41" s="40"/>
      <c r="F41" s="40"/>
      <c r="G41" s="40"/>
      <c r="H41" s="40"/>
      <c r="I41" s="40"/>
      <c r="J41" s="40"/>
      <c r="K41" s="40"/>
      <c r="L41" s="40"/>
      <c r="M41" s="40"/>
      <c r="N41" s="40"/>
      <c r="P41" s="142"/>
      <c r="Q41" s="142"/>
      <c r="R41" s="142"/>
      <c r="S41" s="142"/>
      <c r="T41" s="142"/>
      <c r="U41" s="142"/>
      <c r="V41" s="142"/>
      <c r="W41" s="142"/>
      <c r="X41" s="142"/>
      <c r="Y41" s="142"/>
      <c r="Z41" s="142"/>
      <c r="AA41" s="142"/>
      <c r="AB41" s="142"/>
      <c r="AC41" s="142"/>
      <c r="AD41" s="142"/>
      <c r="AE41" s="142"/>
      <c r="AF41" s="142"/>
      <c r="AG41" s="142"/>
      <c r="AH41" s="142"/>
      <c r="AI41" s="142"/>
      <c r="AJ41" s="142"/>
      <c r="AK41" s="142"/>
      <c r="AL41" s="142"/>
      <c r="AM41" s="142"/>
      <c r="AN41" s="578"/>
      <c r="AO41" s="578"/>
      <c r="AP41" s="578"/>
      <c r="AQ41" s="578"/>
      <c r="AR41" s="578"/>
      <c r="AS41" s="578"/>
      <c r="AT41" s="578"/>
      <c r="AU41" s="578"/>
      <c r="AV41" s="578"/>
      <c r="AW41" s="578"/>
      <c r="AX41" s="578"/>
    </row>
    <row r="42" spans="2:50" customFormat="1" ht="18.75" customHeight="1" thickBot="1" x14ac:dyDescent="0.3">
      <c r="B42" s="41" t="s">
        <v>876</v>
      </c>
      <c r="C42" s="41"/>
      <c r="D42" s="41"/>
      <c r="E42" s="41"/>
      <c r="F42" s="41"/>
      <c r="G42" s="41"/>
      <c r="H42" s="41"/>
      <c r="I42" s="41"/>
      <c r="J42" s="41"/>
      <c r="K42" s="41"/>
      <c r="L42" s="41"/>
      <c r="M42" s="41"/>
      <c r="N42" s="41"/>
      <c r="P42" s="142"/>
      <c r="Q42" s="142"/>
      <c r="R42" s="142"/>
      <c r="S42" s="142"/>
      <c r="T42" s="142"/>
      <c r="U42" s="142"/>
      <c r="V42" s="142"/>
      <c r="W42" s="142"/>
      <c r="X42" s="142"/>
      <c r="Y42" s="142"/>
      <c r="Z42" s="142"/>
      <c r="AA42" s="142"/>
      <c r="AB42" s="142"/>
      <c r="AC42" s="142"/>
      <c r="AD42" s="142"/>
      <c r="AE42" s="142"/>
      <c r="AF42" s="142"/>
      <c r="AG42" s="142"/>
      <c r="AH42" s="142"/>
      <c r="AI42" s="142"/>
      <c r="AJ42" s="142"/>
      <c r="AK42" s="142"/>
      <c r="AL42" s="142"/>
      <c r="AM42" s="142"/>
      <c r="AN42" s="578"/>
      <c r="AO42" s="578"/>
      <c r="AP42" s="578"/>
      <c r="AQ42" s="578"/>
      <c r="AR42" s="578"/>
      <c r="AS42" s="578"/>
      <c r="AT42" s="578"/>
      <c r="AU42" s="578"/>
      <c r="AV42" s="578"/>
      <c r="AW42" s="578"/>
      <c r="AX42" s="578"/>
    </row>
    <row r="43" spans="2:50" customFormat="1" ht="33" thickTop="1" thickBot="1" x14ac:dyDescent="0.3">
      <c r="B43" s="477" t="s">
        <v>878</v>
      </c>
      <c r="C43" s="455" t="s">
        <v>475</v>
      </c>
      <c r="D43" s="455" t="s">
        <v>476</v>
      </c>
      <c r="E43" s="455" t="s">
        <v>477</v>
      </c>
      <c r="F43" s="455" t="s">
        <v>478</v>
      </c>
      <c r="G43" s="455" t="s">
        <v>434</v>
      </c>
      <c r="H43" s="43"/>
      <c r="I43" s="478" t="s">
        <v>878</v>
      </c>
      <c r="J43" s="455" t="s">
        <v>475</v>
      </c>
      <c r="K43" s="455" t="s">
        <v>476</v>
      </c>
      <c r="L43" s="455" t="s">
        <v>477</v>
      </c>
      <c r="M43" s="455" t="s">
        <v>478</v>
      </c>
      <c r="N43" s="455" t="s">
        <v>434</v>
      </c>
      <c r="O43" s="17"/>
      <c r="P43" s="142"/>
      <c r="Q43" s="142"/>
      <c r="R43" s="142"/>
      <c r="S43" s="142"/>
      <c r="T43" s="142"/>
      <c r="U43" s="142"/>
      <c r="V43" s="142"/>
      <c r="W43" s="142"/>
      <c r="X43" s="142"/>
      <c r="Y43" s="142"/>
      <c r="Z43" s="142"/>
      <c r="AA43" s="142"/>
      <c r="AB43" s="142"/>
      <c r="AC43" s="142"/>
      <c r="AD43" s="142"/>
      <c r="AE43" s="142"/>
      <c r="AF43" s="142"/>
      <c r="AG43" s="142"/>
      <c r="AH43" s="142"/>
      <c r="AI43" s="142"/>
      <c r="AJ43" s="142"/>
      <c r="AK43" s="142"/>
      <c r="AL43" s="142"/>
      <c r="AM43" s="142"/>
      <c r="AN43" s="578"/>
      <c r="AO43" s="578"/>
      <c r="AP43" s="578"/>
      <c r="AQ43" s="578"/>
      <c r="AR43" s="578"/>
      <c r="AS43" s="578"/>
      <c r="AT43" s="578"/>
      <c r="AU43" s="578"/>
      <c r="AV43" s="578"/>
      <c r="AW43" s="578"/>
      <c r="AX43" s="578"/>
    </row>
    <row r="44" spans="2:50" customFormat="1" ht="16.5" customHeight="1" thickTop="1" thickBot="1" x14ac:dyDescent="0.3">
      <c r="B44" s="423" t="s">
        <v>487</v>
      </c>
      <c r="C44" s="458">
        <v>80.08</v>
      </c>
      <c r="D44" s="458">
        <v>140</v>
      </c>
      <c r="E44" s="458">
        <v>145.34666666666666</v>
      </c>
      <c r="F44" s="458">
        <v>200</v>
      </c>
      <c r="G44" s="458" t="s">
        <v>583</v>
      </c>
      <c r="H44" s="427"/>
      <c r="I44" s="479" t="s">
        <v>488</v>
      </c>
      <c r="J44" s="458">
        <v>144.04</v>
      </c>
      <c r="K44" s="458">
        <v>220.01999999999998</v>
      </c>
      <c r="L44" s="458">
        <v>215.34666666666666</v>
      </c>
      <c r="M44" s="458">
        <v>280</v>
      </c>
      <c r="N44" s="458" t="s">
        <v>583</v>
      </c>
      <c r="O44" s="426"/>
      <c r="P44" s="142"/>
      <c r="Q44" s="142"/>
      <c r="R44" s="142"/>
      <c r="S44" s="142"/>
      <c r="T44" s="142"/>
      <c r="U44" s="142"/>
      <c r="V44" s="142"/>
      <c r="W44" s="142"/>
      <c r="X44" s="142"/>
      <c r="Y44" s="142"/>
      <c r="Z44" s="142"/>
      <c r="AA44" s="142"/>
      <c r="AB44" s="142"/>
      <c r="AC44" s="142"/>
      <c r="AD44" s="142"/>
      <c r="AE44" s="142"/>
      <c r="AF44" s="142"/>
      <c r="AG44" s="142"/>
      <c r="AH44" s="142"/>
      <c r="AI44" s="142"/>
      <c r="AJ44" s="142"/>
      <c r="AK44" s="142"/>
      <c r="AL44" s="142"/>
      <c r="AM44" s="142"/>
      <c r="AN44" s="578"/>
      <c r="AO44" s="578"/>
      <c r="AP44" s="578"/>
      <c r="AQ44" s="578"/>
      <c r="AR44" s="578"/>
      <c r="AS44" s="578"/>
      <c r="AT44" s="578"/>
      <c r="AU44" s="578"/>
      <c r="AV44" s="578"/>
      <c r="AW44" s="578"/>
      <c r="AX44" s="578"/>
    </row>
    <row r="45" spans="2:50" customFormat="1" ht="16.5" customHeight="1" thickBot="1" x14ac:dyDescent="0.3">
      <c r="B45" s="428" t="s">
        <v>489</v>
      </c>
      <c r="C45" s="480">
        <v>80.08</v>
      </c>
      <c r="D45" s="480">
        <v>140</v>
      </c>
      <c r="E45" s="480">
        <v>146.67999999999998</v>
      </c>
      <c r="F45" s="480">
        <v>200</v>
      </c>
      <c r="G45" s="480" t="s">
        <v>583</v>
      </c>
      <c r="H45" s="427"/>
      <c r="I45" s="481" t="s">
        <v>490</v>
      </c>
      <c r="J45" s="480">
        <v>159.9</v>
      </c>
      <c r="K45" s="480">
        <v>232</v>
      </c>
      <c r="L45" s="480">
        <v>221.98333333333335</v>
      </c>
      <c r="M45" s="480">
        <v>280</v>
      </c>
      <c r="N45" s="480" t="s">
        <v>583</v>
      </c>
      <c r="O45" s="426"/>
      <c r="P45" s="142"/>
      <c r="Q45" s="142"/>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578"/>
      <c r="AO45" s="578"/>
      <c r="AP45" s="578"/>
      <c r="AQ45" s="578"/>
      <c r="AR45" s="578"/>
      <c r="AS45" s="578"/>
      <c r="AT45" s="578"/>
      <c r="AU45" s="578"/>
      <c r="AV45" s="578"/>
      <c r="AW45" s="578"/>
      <c r="AX45" s="578"/>
    </row>
    <row r="46" spans="2:50" customFormat="1" ht="16.5" customHeight="1" thickBot="1" x14ac:dyDescent="0.3">
      <c r="B46" s="436" t="s">
        <v>491</v>
      </c>
      <c r="C46" s="482">
        <v>80.08</v>
      </c>
      <c r="D46" s="482">
        <v>152</v>
      </c>
      <c r="E46" s="482">
        <v>152.01333333333332</v>
      </c>
      <c r="F46" s="482">
        <v>200</v>
      </c>
      <c r="G46" s="482" t="s">
        <v>583</v>
      </c>
      <c r="H46" s="427"/>
      <c r="I46" s="483" t="s">
        <v>492</v>
      </c>
      <c r="J46" s="482">
        <v>159.9</v>
      </c>
      <c r="K46" s="482">
        <v>236</v>
      </c>
      <c r="L46" s="482">
        <v>226.65</v>
      </c>
      <c r="M46" s="482">
        <v>280</v>
      </c>
      <c r="N46" s="482" t="s">
        <v>583</v>
      </c>
      <c r="O46" s="426"/>
      <c r="P46" s="142"/>
      <c r="Q46" s="142"/>
      <c r="R46" s="142"/>
      <c r="S46" s="142"/>
      <c r="T46" s="142"/>
      <c r="U46" s="142"/>
      <c r="V46" s="142"/>
      <c r="W46" s="142"/>
      <c r="X46" s="142"/>
      <c r="Y46" s="142"/>
      <c r="Z46" s="142"/>
      <c r="AA46" s="142"/>
      <c r="AB46" s="142"/>
      <c r="AC46" s="142"/>
      <c r="AD46" s="142"/>
      <c r="AE46" s="142"/>
      <c r="AF46" s="142"/>
      <c r="AG46" s="142"/>
      <c r="AH46" s="142"/>
      <c r="AI46" s="142"/>
      <c r="AJ46" s="142"/>
      <c r="AK46" s="142"/>
      <c r="AL46" s="142"/>
      <c r="AM46" s="142"/>
      <c r="AN46" s="578"/>
      <c r="AO46" s="578"/>
      <c r="AP46" s="578"/>
      <c r="AQ46" s="578"/>
      <c r="AR46" s="578"/>
      <c r="AS46" s="578"/>
      <c r="AT46" s="578"/>
      <c r="AU46" s="578"/>
      <c r="AV46" s="578"/>
      <c r="AW46" s="578"/>
      <c r="AX46" s="578"/>
    </row>
    <row r="47" spans="2:50" customFormat="1" ht="16.5" customHeight="1" thickBot="1" x14ac:dyDescent="0.3">
      <c r="B47" s="428" t="s">
        <v>493</v>
      </c>
      <c r="C47" s="480">
        <v>95.94</v>
      </c>
      <c r="D47" s="480">
        <v>152</v>
      </c>
      <c r="E47" s="480">
        <v>161.99</v>
      </c>
      <c r="F47" s="480">
        <v>224</v>
      </c>
      <c r="G47" s="480" t="s">
        <v>583</v>
      </c>
      <c r="H47" s="427"/>
      <c r="I47" s="481" t="s">
        <v>494</v>
      </c>
      <c r="J47" s="480">
        <v>159.9</v>
      </c>
      <c r="K47" s="480">
        <v>240</v>
      </c>
      <c r="L47" s="480">
        <v>229.31666666666669</v>
      </c>
      <c r="M47" s="480">
        <v>280</v>
      </c>
      <c r="N47" s="480" t="s">
        <v>583</v>
      </c>
      <c r="O47" s="426"/>
      <c r="P47" s="142"/>
      <c r="Q47" s="142"/>
      <c r="R47" s="142"/>
      <c r="S47" s="142"/>
      <c r="T47" s="142"/>
      <c r="U47" s="142"/>
      <c r="V47" s="142"/>
      <c r="W47" s="142"/>
      <c r="X47" s="142"/>
      <c r="Y47" s="142"/>
      <c r="Z47" s="142"/>
      <c r="AA47" s="142"/>
      <c r="AB47" s="142"/>
      <c r="AC47" s="142"/>
      <c r="AD47" s="142"/>
      <c r="AE47" s="142"/>
      <c r="AF47" s="142"/>
      <c r="AG47" s="142"/>
      <c r="AH47" s="142"/>
      <c r="AI47" s="142"/>
      <c r="AJ47" s="142"/>
      <c r="AK47" s="142"/>
      <c r="AL47" s="142"/>
      <c r="AM47" s="142"/>
      <c r="AN47" s="578"/>
      <c r="AO47" s="578"/>
      <c r="AP47" s="578"/>
      <c r="AQ47" s="578"/>
      <c r="AR47" s="578"/>
      <c r="AS47" s="578"/>
      <c r="AT47" s="578"/>
      <c r="AU47" s="578"/>
      <c r="AV47" s="578"/>
      <c r="AW47" s="578"/>
      <c r="AX47" s="578"/>
    </row>
    <row r="48" spans="2:50" customFormat="1" ht="16.5" customHeight="1" thickBot="1" x14ac:dyDescent="0.3">
      <c r="B48" s="436" t="s">
        <v>495</v>
      </c>
      <c r="C48" s="482">
        <v>95.94</v>
      </c>
      <c r="D48" s="482">
        <v>152</v>
      </c>
      <c r="E48" s="482">
        <v>163.32333333333335</v>
      </c>
      <c r="F48" s="482">
        <v>224</v>
      </c>
      <c r="G48" s="482" t="s">
        <v>583</v>
      </c>
      <c r="H48" s="427"/>
      <c r="I48" s="483" t="s">
        <v>496</v>
      </c>
      <c r="J48" s="482">
        <v>159.9</v>
      </c>
      <c r="K48" s="482">
        <v>240</v>
      </c>
      <c r="L48" s="482">
        <v>229.31666666666669</v>
      </c>
      <c r="M48" s="482">
        <v>280</v>
      </c>
      <c r="N48" s="482" t="s">
        <v>583</v>
      </c>
      <c r="O48" s="426"/>
      <c r="P48" s="142"/>
      <c r="Q48" s="142"/>
      <c r="R48" s="142"/>
      <c r="S48" s="142"/>
      <c r="T48" s="142"/>
      <c r="U48" s="142"/>
      <c r="V48" s="142"/>
      <c r="W48" s="142"/>
      <c r="X48" s="142"/>
      <c r="Y48" s="142"/>
      <c r="Z48" s="142"/>
      <c r="AA48" s="142"/>
      <c r="AB48" s="142"/>
      <c r="AC48" s="142"/>
      <c r="AD48" s="142"/>
      <c r="AE48" s="142"/>
      <c r="AF48" s="142"/>
      <c r="AG48" s="142"/>
      <c r="AH48" s="142"/>
      <c r="AI48" s="142"/>
      <c r="AJ48" s="142"/>
      <c r="AK48" s="142"/>
      <c r="AL48" s="142"/>
      <c r="AM48" s="142"/>
      <c r="AN48" s="578"/>
      <c r="AO48" s="578"/>
      <c r="AP48" s="578"/>
      <c r="AQ48" s="578"/>
      <c r="AR48" s="578"/>
      <c r="AS48" s="578"/>
      <c r="AT48" s="578"/>
      <c r="AU48" s="578"/>
      <c r="AV48" s="578"/>
      <c r="AW48" s="578"/>
      <c r="AX48" s="578"/>
    </row>
    <row r="49" spans="2:50" customFormat="1" ht="16.5" customHeight="1" thickBot="1" x14ac:dyDescent="0.3">
      <c r="B49" s="428" t="s">
        <v>497</v>
      </c>
      <c r="C49" s="480">
        <v>95.94</v>
      </c>
      <c r="D49" s="480">
        <v>192.01999999999998</v>
      </c>
      <c r="E49" s="480">
        <v>181.33</v>
      </c>
      <c r="F49" s="480">
        <v>240</v>
      </c>
      <c r="G49" s="480" t="s">
        <v>583</v>
      </c>
      <c r="H49" s="427"/>
      <c r="I49" s="481" t="s">
        <v>498</v>
      </c>
      <c r="J49" s="480">
        <v>159.9</v>
      </c>
      <c r="K49" s="480">
        <v>240</v>
      </c>
      <c r="L49" s="480">
        <v>230.65</v>
      </c>
      <c r="M49" s="480">
        <v>280</v>
      </c>
      <c r="N49" s="480" t="s">
        <v>583</v>
      </c>
      <c r="O49" s="426"/>
      <c r="P49" s="142"/>
      <c r="Q49" s="142"/>
      <c r="R49" s="142"/>
      <c r="S49" s="142"/>
      <c r="T49" s="142"/>
      <c r="U49" s="142"/>
      <c r="V49" s="142"/>
      <c r="W49" s="142"/>
      <c r="X49" s="142"/>
      <c r="Y49" s="142"/>
      <c r="Z49" s="142"/>
      <c r="AA49" s="142"/>
      <c r="AB49" s="142"/>
      <c r="AC49" s="142"/>
      <c r="AD49" s="142"/>
      <c r="AE49" s="142"/>
      <c r="AF49" s="142"/>
      <c r="AG49" s="142"/>
      <c r="AH49" s="142"/>
      <c r="AI49" s="142"/>
      <c r="AJ49" s="142"/>
      <c r="AK49" s="142"/>
      <c r="AL49" s="142"/>
      <c r="AM49" s="142"/>
      <c r="AN49" s="578"/>
      <c r="AO49" s="578"/>
      <c r="AP49" s="578"/>
      <c r="AQ49" s="578"/>
      <c r="AR49" s="578"/>
      <c r="AS49" s="578"/>
      <c r="AT49" s="578"/>
      <c r="AU49" s="578"/>
      <c r="AV49" s="578"/>
      <c r="AW49" s="578"/>
      <c r="AX49" s="578"/>
    </row>
    <row r="50" spans="2:50" customFormat="1" ht="16.5" customHeight="1" thickBot="1" x14ac:dyDescent="0.3">
      <c r="B50" s="436" t="s">
        <v>499</v>
      </c>
      <c r="C50" s="482">
        <v>119.86000000000001</v>
      </c>
      <c r="D50" s="482">
        <v>192.01999999999998</v>
      </c>
      <c r="E50" s="482">
        <v>185.31666666666669</v>
      </c>
      <c r="F50" s="482">
        <v>240</v>
      </c>
      <c r="G50" s="482" t="s">
        <v>583</v>
      </c>
      <c r="H50" s="427"/>
      <c r="I50" s="483" t="s">
        <v>500</v>
      </c>
      <c r="J50" s="482">
        <v>159.9</v>
      </c>
      <c r="K50" s="482">
        <v>240</v>
      </c>
      <c r="L50" s="482">
        <v>231.98333333333335</v>
      </c>
      <c r="M50" s="482">
        <v>280</v>
      </c>
      <c r="N50" s="482" t="s">
        <v>583</v>
      </c>
      <c r="O50" s="426"/>
      <c r="P50" s="142"/>
      <c r="Q50" s="142"/>
      <c r="R50" s="142"/>
      <c r="S50" s="142"/>
      <c r="T50" s="142"/>
      <c r="U50" s="142"/>
      <c r="V50" s="142"/>
      <c r="W50" s="142"/>
      <c r="X50" s="142"/>
      <c r="Y50" s="142"/>
      <c r="Z50" s="142"/>
      <c r="AA50" s="142"/>
      <c r="AB50" s="142"/>
      <c r="AC50" s="142"/>
      <c r="AD50" s="142"/>
      <c r="AE50" s="142"/>
      <c r="AF50" s="142"/>
      <c r="AG50" s="142"/>
      <c r="AH50" s="142"/>
      <c r="AI50" s="142"/>
      <c r="AJ50" s="142"/>
      <c r="AK50" s="142"/>
      <c r="AL50" s="142"/>
      <c r="AM50" s="142"/>
      <c r="AN50" s="578"/>
      <c r="AO50" s="578"/>
      <c r="AP50" s="578"/>
      <c r="AQ50" s="578"/>
      <c r="AR50" s="578"/>
      <c r="AS50" s="578"/>
      <c r="AT50" s="578"/>
      <c r="AU50" s="578"/>
      <c r="AV50" s="578"/>
      <c r="AW50" s="578"/>
      <c r="AX50" s="578"/>
    </row>
    <row r="51" spans="2:50" customFormat="1" ht="16.5" customHeight="1" thickBot="1" x14ac:dyDescent="0.3">
      <c r="B51" s="428" t="s">
        <v>501</v>
      </c>
      <c r="C51" s="480">
        <v>119.86000000000001</v>
      </c>
      <c r="D51" s="480">
        <v>192.01999999999998</v>
      </c>
      <c r="E51" s="480">
        <v>190.65</v>
      </c>
      <c r="F51" s="480">
        <v>248</v>
      </c>
      <c r="G51" s="480" t="s">
        <v>583</v>
      </c>
      <c r="H51" s="427"/>
      <c r="I51" s="481" t="s">
        <v>502</v>
      </c>
      <c r="J51" s="480">
        <v>159.9</v>
      </c>
      <c r="K51" s="480">
        <v>252</v>
      </c>
      <c r="L51" s="480">
        <v>239.31666666666669</v>
      </c>
      <c r="M51" s="480">
        <v>300</v>
      </c>
      <c r="N51" s="480" t="s">
        <v>583</v>
      </c>
      <c r="O51" s="426"/>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2"/>
      <c r="AN51" s="578"/>
      <c r="AO51" s="578"/>
      <c r="AP51" s="578"/>
      <c r="AQ51" s="578"/>
      <c r="AR51" s="578"/>
      <c r="AS51" s="578"/>
      <c r="AT51" s="578"/>
      <c r="AU51" s="578"/>
      <c r="AV51" s="578"/>
      <c r="AW51" s="578"/>
      <c r="AX51" s="578"/>
    </row>
    <row r="52" spans="2:50" customFormat="1" ht="16.5" customHeight="1" thickBot="1" x14ac:dyDescent="0.3">
      <c r="B52" s="436" t="s">
        <v>503</v>
      </c>
      <c r="C52" s="482">
        <v>119.86000000000001</v>
      </c>
      <c r="D52" s="482">
        <v>192.01999999999998</v>
      </c>
      <c r="E52" s="482">
        <v>190.65</v>
      </c>
      <c r="F52" s="482">
        <v>248</v>
      </c>
      <c r="G52" s="482" t="s">
        <v>583</v>
      </c>
      <c r="H52" s="427"/>
      <c r="I52" s="483" t="s">
        <v>504</v>
      </c>
      <c r="J52" s="482">
        <v>159.9</v>
      </c>
      <c r="K52" s="482">
        <v>252</v>
      </c>
      <c r="L52" s="482">
        <v>239.31666666666669</v>
      </c>
      <c r="M52" s="482">
        <v>300</v>
      </c>
      <c r="N52" s="482" t="s">
        <v>583</v>
      </c>
      <c r="O52" s="426"/>
      <c r="P52" s="142"/>
      <c r="Q52" s="142"/>
      <c r="R52" s="142"/>
      <c r="S52" s="142"/>
      <c r="T52" s="142"/>
      <c r="U52" s="142"/>
      <c r="V52" s="142"/>
      <c r="W52" s="142"/>
      <c r="X52" s="142"/>
      <c r="Y52" s="142"/>
      <c r="Z52" s="142"/>
      <c r="AA52" s="142"/>
      <c r="AB52" s="142"/>
      <c r="AC52" s="142"/>
      <c r="AD52" s="142"/>
      <c r="AE52" s="142"/>
      <c r="AF52" s="142"/>
      <c r="AG52" s="142"/>
      <c r="AH52" s="142"/>
      <c r="AI52" s="142"/>
      <c r="AJ52" s="142"/>
      <c r="AK52" s="142"/>
      <c r="AL52" s="142"/>
      <c r="AM52" s="142"/>
      <c r="AN52" s="578"/>
      <c r="AO52" s="578"/>
      <c r="AP52" s="578"/>
      <c r="AQ52" s="578"/>
      <c r="AR52" s="578"/>
      <c r="AS52" s="578"/>
      <c r="AT52" s="578"/>
      <c r="AU52" s="578"/>
      <c r="AV52" s="578"/>
      <c r="AW52" s="578"/>
      <c r="AX52" s="578"/>
    </row>
    <row r="53" spans="2:50" customFormat="1" ht="16.5" customHeight="1" thickBot="1" x14ac:dyDescent="0.3">
      <c r="B53" s="428" t="s">
        <v>505</v>
      </c>
      <c r="C53" s="480">
        <v>119.86000000000001</v>
      </c>
      <c r="D53" s="480">
        <v>204.01999999999998</v>
      </c>
      <c r="E53" s="480">
        <v>194.65</v>
      </c>
      <c r="F53" s="480">
        <v>248</v>
      </c>
      <c r="G53" s="480" t="s">
        <v>583</v>
      </c>
      <c r="H53" s="427"/>
      <c r="I53" s="481" t="s">
        <v>506</v>
      </c>
      <c r="J53" s="480">
        <v>159.9</v>
      </c>
      <c r="K53" s="480">
        <v>252</v>
      </c>
      <c r="L53" s="480">
        <v>239.31666666666669</v>
      </c>
      <c r="M53" s="480">
        <v>300</v>
      </c>
      <c r="N53" s="480" t="s">
        <v>583</v>
      </c>
      <c r="O53" s="426"/>
      <c r="P53" s="142"/>
      <c r="Q53" s="142"/>
      <c r="R53" s="142"/>
      <c r="S53" s="142"/>
      <c r="T53" s="142"/>
      <c r="U53" s="142"/>
      <c r="V53" s="142"/>
      <c r="W53" s="142"/>
      <c r="X53" s="142"/>
      <c r="Y53" s="142"/>
      <c r="Z53" s="142"/>
      <c r="AA53" s="142"/>
      <c r="AB53" s="142"/>
      <c r="AC53" s="142"/>
      <c r="AD53" s="142"/>
      <c r="AE53" s="142"/>
      <c r="AF53" s="142"/>
      <c r="AG53" s="142"/>
      <c r="AH53" s="142"/>
      <c r="AI53" s="142"/>
      <c r="AJ53" s="142"/>
      <c r="AK53" s="142"/>
      <c r="AL53" s="142"/>
      <c r="AM53" s="142"/>
      <c r="AN53" s="578"/>
      <c r="AO53" s="578"/>
      <c r="AP53" s="578"/>
      <c r="AQ53" s="578"/>
      <c r="AR53" s="578"/>
      <c r="AS53" s="578"/>
      <c r="AT53" s="578"/>
      <c r="AU53" s="578"/>
      <c r="AV53" s="578"/>
      <c r="AW53" s="578"/>
      <c r="AX53" s="578"/>
    </row>
    <row r="54" spans="2:50" customFormat="1" ht="16.5" customHeight="1" thickBot="1" x14ac:dyDescent="0.3">
      <c r="B54" s="436" t="s">
        <v>507</v>
      </c>
      <c r="C54" s="482">
        <v>144.04</v>
      </c>
      <c r="D54" s="482">
        <v>208.01999999999998</v>
      </c>
      <c r="E54" s="482">
        <v>204.67999999999998</v>
      </c>
      <c r="F54" s="482">
        <v>260</v>
      </c>
      <c r="G54" s="482" t="s">
        <v>583</v>
      </c>
      <c r="H54" s="427"/>
      <c r="I54" s="483" t="s">
        <v>508</v>
      </c>
      <c r="J54" s="482">
        <v>159.9</v>
      </c>
      <c r="K54" s="482">
        <v>252</v>
      </c>
      <c r="L54" s="482">
        <v>239.31666666666669</v>
      </c>
      <c r="M54" s="482">
        <v>300</v>
      </c>
      <c r="N54" s="482" t="s">
        <v>583</v>
      </c>
      <c r="O54" s="426"/>
      <c r="P54" s="142"/>
      <c r="Q54" s="142"/>
      <c r="R54" s="142"/>
      <c r="S54" s="142"/>
      <c r="T54" s="142"/>
      <c r="U54" s="142"/>
      <c r="V54" s="142"/>
      <c r="W54" s="142"/>
      <c r="X54" s="142"/>
      <c r="Y54" s="142"/>
      <c r="Z54" s="142"/>
      <c r="AA54" s="142"/>
      <c r="AB54" s="142"/>
      <c r="AC54" s="142"/>
      <c r="AD54" s="142"/>
      <c r="AE54" s="142"/>
      <c r="AF54" s="142"/>
      <c r="AG54" s="142"/>
      <c r="AH54" s="142"/>
      <c r="AI54" s="142"/>
      <c r="AJ54" s="142"/>
      <c r="AK54" s="142"/>
      <c r="AL54" s="142"/>
      <c r="AM54" s="142"/>
      <c r="AN54" s="578"/>
      <c r="AO54" s="578"/>
      <c r="AP54" s="578"/>
      <c r="AQ54" s="578"/>
      <c r="AR54" s="578"/>
      <c r="AS54" s="578"/>
      <c r="AT54" s="578"/>
      <c r="AU54" s="578"/>
      <c r="AV54" s="578"/>
      <c r="AW54" s="578"/>
      <c r="AX54" s="578"/>
    </row>
    <row r="55" spans="2:50" customFormat="1" ht="16.5" customHeight="1" thickBot="1" x14ac:dyDescent="0.3">
      <c r="B55" s="428" t="s">
        <v>509</v>
      </c>
      <c r="C55" s="480">
        <v>144.04</v>
      </c>
      <c r="D55" s="480">
        <v>212.01999999999998</v>
      </c>
      <c r="E55" s="480">
        <v>211.34666666666666</v>
      </c>
      <c r="F55" s="480">
        <v>280</v>
      </c>
      <c r="G55" s="480" t="s">
        <v>583</v>
      </c>
      <c r="H55" s="427"/>
      <c r="I55" s="481" t="s">
        <v>510</v>
      </c>
      <c r="J55" s="480">
        <v>159.9</v>
      </c>
      <c r="K55" s="480">
        <v>252</v>
      </c>
      <c r="L55" s="480">
        <v>239.31666666666669</v>
      </c>
      <c r="M55" s="480">
        <v>300</v>
      </c>
      <c r="N55" s="480" t="s">
        <v>583</v>
      </c>
      <c r="O55" s="426"/>
      <c r="P55" s="142"/>
      <c r="Q55" s="142"/>
      <c r="R55" s="142"/>
      <c r="S55" s="142"/>
      <c r="T55" s="142"/>
      <c r="U55" s="142"/>
      <c r="V55" s="142"/>
      <c r="W55" s="142"/>
      <c r="X55" s="142"/>
      <c r="Y55" s="142"/>
      <c r="Z55" s="142"/>
      <c r="AA55" s="142"/>
      <c r="AB55" s="142"/>
      <c r="AC55" s="142"/>
      <c r="AD55" s="142"/>
      <c r="AE55" s="142"/>
      <c r="AF55" s="142"/>
      <c r="AG55" s="142"/>
      <c r="AH55" s="142"/>
      <c r="AI55" s="142"/>
      <c r="AJ55" s="142"/>
      <c r="AK55" s="142"/>
      <c r="AL55" s="142"/>
      <c r="AM55" s="142"/>
      <c r="AN55" s="578"/>
      <c r="AO55" s="578"/>
      <c r="AP55" s="578"/>
      <c r="AQ55" s="578"/>
      <c r="AR55" s="578"/>
      <c r="AS55" s="578"/>
      <c r="AT55" s="578"/>
      <c r="AU55" s="578"/>
      <c r="AV55" s="578"/>
      <c r="AW55" s="578"/>
      <c r="AX55" s="578"/>
    </row>
    <row r="56" spans="2:50" customFormat="1" ht="16.5" customHeight="1" thickBot="1" x14ac:dyDescent="0.3">
      <c r="B56" s="436" t="s">
        <v>599</v>
      </c>
      <c r="C56" s="482">
        <v>144.04</v>
      </c>
      <c r="D56" s="482">
        <v>216.01999999999998</v>
      </c>
      <c r="E56" s="482">
        <v>214.01333333333332</v>
      </c>
      <c r="F56" s="482">
        <v>280</v>
      </c>
      <c r="G56" s="482" t="s">
        <v>583</v>
      </c>
      <c r="H56" s="484"/>
      <c r="I56" s="483" t="s">
        <v>879</v>
      </c>
      <c r="J56" s="482">
        <v>159.9</v>
      </c>
      <c r="K56" s="482">
        <v>256</v>
      </c>
      <c r="L56" s="482">
        <v>245.31666666666669</v>
      </c>
      <c r="M56" s="482">
        <v>320</v>
      </c>
      <c r="N56" s="482" t="s">
        <v>583</v>
      </c>
      <c r="O56" s="426"/>
      <c r="P56" s="142"/>
      <c r="Q56" s="142"/>
      <c r="R56" s="142"/>
      <c r="S56" s="142"/>
      <c r="T56" s="142"/>
      <c r="U56" s="142"/>
      <c r="V56" s="142"/>
      <c r="W56" s="142"/>
      <c r="X56" s="142"/>
      <c r="Y56" s="142"/>
      <c r="Z56" s="142"/>
      <c r="AA56" s="142"/>
      <c r="AB56" s="142"/>
      <c r="AC56" s="142"/>
      <c r="AD56" s="142"/>
      <c r="AE56" s="142"/>
      <c r="AF56" s="142"/>
      <c r="AG56" s="142"/>
      <c r="AH56" s="142"/>
      <c r="AI56" s="142"/>
      <c r="AJ56" s="142"/>
      <c r="AK56" s="142"/>
      <c r="AL56" s="142"/>
      <c r="AM56" s="142"/>
      <c r="AN56" s="578"/>
      <c r="AO56" s="578"/>
      <c r="AP56" s="578"/>
      <c r="AQ56" s="578"/>
      <c r="AR56" s="578"/>
      <c r="AS56" s="578"/>
      <c r="AT56" s="578"/>
      <c r="AU56" s="578"/>
      <c r="AV56" s="578"/>
      <c r="AW56" s="578"/>
      <c r="AX56" s="578"/>
    </row>
    <row r="57" spans="2:50" customFormat="1" ht="15.75" customHeight="1" x14ac:dyDescent="0.25">
      <c r="P57" s="142"/>
      <c r="Q57" s="142"/>
      <c r="R57" s="142"/>
      <c r="S57" s="142"/>
      <c r="T57" s="142"/>
      <c r="U57" s="142"/>
      <c r="V57" s="142"/>
      <c r="W57" s="142"/>
      <c r="X57" s="142"/>
      <c r="Y57" s="142"/>
      <c r="Z57" s="142"/>
      <c r="AA57" s="142"/>
      <c r="AB57" s="142"/>
      <c r="AC57" s="142"/>
      <c r="AD57" s="142"/>
      <c r="AE57" s="142"/>
      <c r="AF57" s="142"/>
      <c r="AG57" s="142"/>
      <c r="AH57" s="142"/>
      <c r="AI57" s="142"/>
      <c r="AJ57" s="142"/>
      <c r="AK57" s="142"/>
      <c r="AL57" s="142"/>
      <c r="AM57" s="142"/>
      <c r="AN57" s="578"/>
      <c r="AO57" s="578"/>
      <c r="AP57" s="578"/>
      <c r="AQ57" s="578"/>
      <c r="AR57" s="578"/>
      <c r="AS57" s="578"/>
      <c r="AT57" s="578"/>
      <c r="AU57" s="578"/>
      <c r="AV57" s="578"/>
      <c r="AW57" s="578"/>
      <c r="AX57" s="578"/>
    </row>
    <row r="58" spans="2:50" customFormat="1" ht="15.75" customHeight="1" x14ac:dyDescent="0.25">
      <c r="P58" s="142"/>
      <c r="Q58" s="142"/>
      <c r="R58" s="142"/>
      <c r="S58" s="142"/>
      <c r="T58" s="142"/>
      <c r="U58" s="142"/>
      <c r="V58" s="142"/>
      <c r="W58" s="142"/>
      <c r="X58" s="142"/>
      <c r="Y58" s="142"/>
      <c r="Z58" s="142"/>
      <c r="AA58" s="142"/>
      <c r="AB58" s="142"/>
      <c r="AC58" s="142"/>
      <c r="AD58" s="142"/>
      <c r="AE58" s="142"/>
      <c r="AF58" s="142"/>
      <c r="AG58" s="142"/>
      <c r="AH58" s="142"/>
      <c r="AI58" s="142"/>
      <c r="AJ58" s="142"/>
      <c r="AK58" s="142"/>
      <c r="AL58" s="142"/>
      <c r="AM58" s="142"/>
      <c r="AN58" s="578"/>
      <c r="AO58" s="578"/>
      <c r="AP58" s="578"/>
      <c r="AQ58" s="578"/>
      <c r="AR58" s="578"/>
      <c r="AS58" s="578"/>
      <c r="AT58" s="578"/>
      <c r="AU58" s="578"/>
      <c r="AV58" s="578"/>
      <c r="AW58" s="578"/>
      <c r="AX58" s="578"/>
    </row>
    <row r="59" spans="2:50" customFormat="1" ht="15.75" customHeight="1" x14ac:dyDescent="0.25">
      <c r="P59" s="142"/>
      <c r="Q59" s="142"/>
      <c r="R59" s="142"/>
      <c r="S59" s="142"/>
      <c r="T59" s="142"/>
      <c r="U59" s="142"/>
      <c r="V59" s="142"/>
      <c r="W59" s="142"/>
      <c r="X59" s="142"/>
      <c r="Y59" s="142"/>
      <c r="Z59" s="142"/>
      <c r="AA59" s="142"/>
      <c r="AB59" s="142"/>
      <c r="AC59" s="142"/>
      <c r="AD59" s="142"/>
      <c r="AE59" s="142"/>
      <c r="AF59" s="142"/>
      <c r="AG59" s="142"/>
      <c r="AH59" s="142"/>
      <c r="AI59" s="142"/>
      <c r="AJ59" s="142"/>
      <c r="AK59" s="142"/>
      <c r="AL59" s="142"/>
      <c r="AM59" s="142"/>
      <c r="AN59" s="578"/>
      <c r="AO59" s="578"/>
      <c r="AP59" s="578"/>
      <c r="AQ59" s="578"/>
      <c r="AR59" s="578"/>
      <c r="AS59" s="578"/>
      <c r="AT59" s="578"/>
      <c r="AU59" s="578"/>
      <c r="AV59" s="578"/>
      <c r="AW59" s="578"/>
      <c r="AX59" s="578"/>
    </row>
    <row r="60" spans="2:50" customFormat="1" ht="15.75" customHeight="1" x14ac:dyDescent="0.25">
      <c r="P60" s="142"/>
      <c r="Q60" s="142"/>
      <c r="R60" s="142"/>
      <c r="S60" s="142"/>
      <c r="T60" s="142"/>
      <c r="U60" s="142"/>
      <c r="V60" s="142"/>
      <c r="W60" s="142"/>
      <c r="X60" s="142"/>
      <c r="Y60" s="142"/>
      <c r="Z60" s="142"/>
      <c r="AA60" s="142"/>
      <c r="AB60" s="142"/>
      <c r="AC60" s="142"/>
      <c r="AD60" s="142"/>
      <c r="AE60" s="142"/>
      <c r="AF60" s="142"/>
      <c r="AG60" s="142"/>
      <c r="AH60" s="142"/>
      <c r="AI60" s="142"/>
      <c r="AJ60" s="142"/>
      <c r="AK60" s="142"/>
      <c r="AL60" s="142"/>
      <c r="AM60" s="142"/>
      <c r="AN60" s="578"/>
      <c r="AO60" s="578"/>
      <c r="AP60" s="578"/>
      <c r="AQ60" s="578"/>
      <c r="AR60" s="578"/>
      <c r="AS60" s="578"/>
      <c r="AT60" s="578"/>
      <c r="AU60" s="578"/>
      <c r="AV60" s="578"/>
      <c r="AW60" s="578"/>
      <c r="AX60" s="578"/>
    </row>
    <row r="61" spans="2:50" customFormat="1" ht="15.75" customHeight="1" x14ac:dyDescent="0.25">
      <c r="P61" s="142"/>
      <c r="Q61" s="142"/>
      <c r="R61" s="142"/>
      <c r="S61" s="142"/>
      <c r="T61" s="142"/>
      <c r="U61" s="142"/>
      <c r="V61" s="142"/>
      <c r="W61" s="142"/>
      <c r="X61" s="142"/>
      <c r="Y61" s="142"/>
      <c r="Z61" s="142"/>
      <c r="AA61" s="142"/>
      <c r="AB61" s="142"/>
      <c r="AC61" s="142"/>
      <c r="AD61" s="142"/>
      <c r="AE61" s="142"/>
      <c r="AF61" s="142"/>
      <c r="AG61" s="142"/>
      <c r="AH61" s="142"/>
      <c r="AI61" s="142"/>
      <c r="AJ61" s="142"/>
      <c r="AK61" s="142"/>
      <c r="AL61" s="142"/>
      <c r="AM61" s="142"/>
      <c r="AN61" s="578"/>
      <c r="AO61" s="578"/>
      <c r="AP61" s="578"/>
      <c r="AQ61" s="578"/>
      <c r="AR61" s="578"/>
      <c r="AS61" s="578"/>
      <c r="AT61" s="578"/>
      <c r="AU61" s="578"/>
      <c r="AV61" s="578"/>
      <c r="AW61" s="578"/>
      <c r="AX61" s="578"/>
    </row>
  </sheetData>
  <mergeCells count="18">
    <mergeCell ref="AD16:AE16"/>
    <mergeCell ref="AF16:AL16"/>
    <mergeCell ref="AN40:AX61"/>
    <mergeCell ref="AD11:AE11"/>
    <mergeCell ref="AO11:AW11"/>
    <mergeCell ref="AD12:AE12"/>
    <mergeCell ref="AD13:AE13"/>
    <mergeCell ref="AD14:AE14"/>
    <mergeCell ref="AD15:AE15"/>
    <mergeCell ref="AD8:AE8"/>
    <mergeCell ref="AO8:AO10"/>
    <mergeCell ref="AD9:AE9"/>
    <mergeCell ref="AD10:AE10"/>
    <mergeCell ref="R5:S5"/>
    <mergeCell ref="AI5:AI6"/>
    <mergeCell ref="AO5:AO7"/>
    <mergeCell ref="R6:S6"/>
    <mergeCell ref="AD7:AE7"/>
  </mergeCells>
  <printOptions horizontalCentered="1" verticalCentered="1"/>
  <pageMargins left="0.7" right="0.7" top="0.75" bottom="0.75" header="0.3" footer="0.3"/>
  <pageSetup scale="87" fitToHeight="0" orientation="landscape" verticalDpi="1200" r:id="rId1"/>
  <rowBreaks count="2" manualBreakCount="2">
    <brk id="17" max="49" man="1"/>
    <brk id="39" max="49" man="1"/>
  </rowBreaks>
  <colBreaks count="3" manualBreakCount="3">
    <brk id="15" max="1048575" man="1"/>
    <brk id="28" max="59" man="1"/>
    <brk id="39"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A779E-9AD2-4F72-A50C-21D9A73DE6D1}">
  <sheetPr codeName="Sheet37">
    <tabColor theme="6" tint="0.39997558519241921"/>
  </sheetPr>
  <dimension ref="A1:AG35"/>
  <sheetViews>
    <sheetView showGridLines="0" zoomScale="70" zoomScaleNormal="70" zoomScaleSheetLayoutView="55" workbookViewId="0">
      <selection activeCell="R1" sqref="R1:R1048576"/>
    </sheetView>
  </sheetViews>
  <sheetFormatPr defaultColWidth="9.28515625" defaultRowHeight="15" x14ac:dyDescent="0.25"/>
  <cols>
    <col min="1" max="1" width="8.5703125" style="86" customWidth="1"/>
    <col min="2" max="2" width="31.7109375" style="86" customWidth="1"/>
    <col min="3" max="7" width="10.7109375" style="86" customWidth="1"/>
    <col min="8" max="8" width="3.7109375" style="86" hidden="1" customWidth="1"/>
    <col min="9" max="9" width="10.7109375" style="86" customWidth="1"/>
    <col min="10" max="11" width="8.5703125" style="86" customWidth="1"/>
    <col min="12" max="12" width="31.7109375" style="86" customWidth="1"/>
    <col min="13" max="17" width="13.28515625" style="86" customWidth="1"/>
    <col min="18" max="18" width="3.7109375" style="86" hidden="1" customWidth="1"/>
    <col min="19" max="19" width="13.28515625" style="86" customWidth="1"/>
    <col min="20" max="20" width="8.5703125" style="86" customWidth="1"/>
    <col min="21" max="21" width="5.28515625" style="86" bestFit="1" customWidth="1"/>
    <col min="22" max="22" width="19.7109375" style="86" customWidth="1"/>
    <col min="23" max="25" width="15.7109375" style="86" customWidth="1"/>
    <col min="26" max="26" width="11.7109375" style="86" customWidth="1"/>
    <col min="27" max="16384" width="9.28515625" style="86"/>
  </cols>
  <sheetData>
    <row r="1" spans="1:33" x14ac:dyDescent="0.25">
      <c r="Y1" s="100" t="s">
        <v>644</v>
      </c>
      <c r="Z1" s="102" t="s">
        <v>674</v>
      </c>
      <c r="AA1" s="102"/>
      <c r="AB1" s="102" t="s">
        <v>636</v>
      </c>
      <c r="AC1" s="102"/>
    </row>
    <row r="2" spans="1:33" ht="18.75" thickBot="1" x14ac:dyDescent="0.3">
      <c r="B2" s="87" t="s">
        <v>881</v>
      </c>
      <c r="C2" s="87"/>
      <c r="D2" s="87"/>
      <c r="E2" s="87"/>
      <c r="F2" s="87"/>
      <c r="G2" s="87"/>
      <c r="H2" s="87"/>
      <c r="I2" s="87"/>
      <c r="J2" s="88"/>
      <c r="K2" s="88"/>
      <c r="L2" s="89" t="s">
        <v>882</v>
      </c>
      <c r="M2" s="89"/>
      <c r="N2" s="89"/>
      <c r="O2" s="89"/>
      <c r="P2" s="89"/>
      <c r="Q2" s="89"/>
      <c r="R2" s="89"/>
      <c r="S2" s="89"/>
      <c r="V2" s="90" t="s">
        <v>644</v>
      </c>
      <c r="W2" s="90" t="s">
        <v>636</v>
      </c>
      <c r="Y2" s="100"/>
      <c r="Z2" s="101" t="s">
        <v>472</v>
      </c>
      <c r="AA2" s="101" t="s">
        <v>469</v>
      </c>
      <c r="AB2" s="101" t="s">
        <v>472</v>
      </c>
      <c r="AC2" s="101" t="s">
        <v>469</v>
      </c>
    </row>
    <row r="3" spans="1:33" ht="33" thickTop="1" thickBot="1" x14ac:dyDescent="0.3">
      <c r="L3" s="485"/>
      <c r="M3" s="486" t="s">
        <v>475</v>
      </c>
      <c r="N3" s="486" t="s">
        <v>476</v>
      </c>
      <c r="O3" s="486" t="s">
        <v>477</v>
      </c>
      <c r="P3" s="486" t="s">
        <v>478</v>
      </c>
      <c r="Q3" s="486" t="s">
        <v>555</v>
      </c>
      <c r="R3" s="298"/>
      <c r="S3" s="486" t="s">
        <v>799</v>
      </c>
      <c r="U3" s="91" t="s">
        <v>472</v>
      </c>
      <c r="V3" s="92">
        <v>23</v>
      </c>
      <c r="W3" s="93">
        <v>0.7931034482758621</v>
      </c>
      <c r="Y3" s="91" t="s">
        <v>46</v>
      </c>
      <c r="Z3" s="92">
        <v>17</v>
      </c>
      <c r="AA3" s="92">
        <v>4</v>
      </c>
      <c r="AB3" s="153">
        <v>0.80952380952380953</v>
      </c>
      <c r="AC3" s="153">
        <v>0.19047619047619047</v>
      </c>
      <c r="AE3" s="94"/>
      <c r="AF3" s="94"/>
      <c r="AG3" s="94"/>
    </row>
    <row r="4" spans="1:33" ht="33" customHeight="1" thickTop="1" thickBot="1" x14ac:dyDescent="0.3">
      <c r="K4" s="95" t="s">
        <v>466</v>
      </c>
      <c r="L4" s="487" t="s">
        <v>556</v>
      </c>
      <c r="M4" s="488">
        <v>6.2E-2</v>
      </c>
      <c r="N4" s="488">
        <v>280000</v>
      </c>
      <c r="O4" s="488">
        <v>220208.41239999997</v>
      </c>
      <c r="P4" s="488">
        <v>345000</v>
      </c>
      <c r="Q4" s="489">
        <v>0.61538461538461542</v>
      </c>
      <c r="R4" s="490"/>
      <c r="S4" s="491">
        <v>13</v>
      </c>
      <c r="U4" s="91" t="s">
        <v>469</v>
      </c>
      <c r="V4" s="92">
        <v>6</v>
      </c>
      <c r="W4" s="93">
        <v>0.20689655172413793</v>
      </c>
      <c r="Y4" s="91" t="s">
        <v>18</v>
      </c>
      <c r="Z4" s="92">
        <v>6</v>
      </c>
      <c r="AA4" s="92">
        <v>2</v>
      </c>
      <c r="AB4" s="153">
        <v>0.75</v>
      </c>
      <c r="AC4" s="153">
        <v>0.25</v>
      </c>
      <c r="AE4" s="94"/>
      <c r="AF4" s="94"/>
      <c r="AG4" s="94"/>
    </row>
    <row r="5" spans="1:33" ht="33" customHeight="1" thickBot="1" x14ac:dyDescent="0.3">
      <c r="K5" s="95" t="s">
        <v>467</v>
      </c>
      <c r="L5" s="492" t="s">
        <v>557</v>
      </c>
      <c r="M5" s="493">
        <v>20</v>
      </c>
      <c r="N5" s="493">
        <v>280000</v>
      </c>
      <c r="O5" s="493">
        <v>225870</v>
      </c>
      <c r="P5" s="493">
        <v>345000</v>
      </c>
      <c r="Q5" s="494">
        <v>0.45454545454545453</v>
      </c>
      <c r="R5" s="490"/>
      <c r="S5" s="495">
        <v>11</v>
      </c>
      <c r="U5" s="96" t="s">
        <v>241</v>
      </c>
      <c r="V5" s="97">
        <v>29</v>
      </c>
      <c r="W5" s="98">
        <v>1</v>
      </c>
      <c r="Y5" s="96" t="s">
        <v>883</v>
      </c>
      <c r="Z5" s="97">
        <v>23</v>
      </c>
      <c r="AA5" s="97">
        <v>6</v>
      </c>
      <c r="AB5" s="153">
        <v>0.7931034482758621</v>
      </c>
      <c r="AC5" s="153">
        <v>0.20689655172413793</v>
      </c>
      <c r="AE5" s="94"/>
      <c r="AF5" s="94"/>
      <c r="AG5" s="94"/>
    </row>
    <row r="6" spans="1:33" ht="33" customHeight="1" thickTop="1" thickBot="1" x14ac:dyDescent="0.3">
      <c r="K6" s="95" t="s">
        <v>468</v>
      </c>
      <c r="L6" s="487" t="s">
        <v>558</v>
      </c>
      <c r="M6" s="488">
        <v>280000</v>
      </c>
      <c r="N6" s="488">
        <v>312500</v>
      </c>
      <c r="O6" s="488">
        <v>312500</v>
      </c>
      <c r="P6" s="488">
        <v>345000</v>
      </c>
      <c r="Q6" s="489">
        <v>0.66666666666666663</v>
      </c>
      <c r="R6" s="490"/>
      <c r="S6" s="491">
        <v>6</v>
      </c>
    </row>
    <row r="9" spans="1:33" ht="15" customHeight="1" x14ac:dyDescent="0.25">
      <c r="K9" s="99"/>
      <c r="L9" s="99"/>
      <c r="M9" s="99"/>
      <c r="N9" s="99"/>
      <c r="O9" s="99"/>
      <c r="P9" s="99"/>
      <c r="Q9" s="99"/>
      <c r="R9" s="99"/>
      <c r="S9" s="99"/>
      <c r="T9" s="99"/>
      <c r="W9" s="31" t="s">
        <v>584</v>
      </c>
      <c r="X9" s="31" t="s">
        <v>582</v>
      </c>
      <c r="Y9" s="31" t="s">
        <v>470</v>
      </c>
    </row>
    <row r="10" spans="1:33" ht="22.5" customHeight="1" thickBot="1" x14ac:dyDescent="0.3">
      <c r="B10" s="89" t="s">
        <v>884</v>
      </c>
      <c r="C10" s="89"/>
      <c r="D10" s="89"/>
      <c r="E10" s="89"/>
      <c r="F10" s="89"/>
      <c r="G10" s="89"/>
      <c r="H10" s="89"/>
      <c r="I10" s="89"/>
      <c r="K10" s="99"/>
      <c r="L10" s="89" t="s">
        <v>885</v>
      </c>
      <c r="M10" s="89"/>
      <c r="N10" s="89"/>
      <c r="O10" s="89"/>
      <c r="P10" s="89"/>
      <c r="Q10" s="89"/>
      <c r="R10" s="89"/>
      <c r="S10" s="99"/>
      <c r="T10" s="99"/>
      <c r="V10" s="104" t="s">
        <v>886</v>
      </c>
    </row>
    <row r="11" spans="1:33" ht="33" customHeight="1" thickTop="1" thickBot="1" x14ac:dyDescent="0.3">
      <c r="B11" s="485"/>
      <c r="C11" s="496" t="s">
        <v>475</v>
      </c>
      <c r="D11" s="496" t="s">
        <v>476</v>
      </c>
      <c r="E11" s="496" t="s">
        <v>477</v>
      </c>
      <c r="F11" s="496" t="s">
        <v>478</v>
      </c>
      <c r="G11" s="496" t="s">
        <v>434</v>
      </c>
      <c r="H11" s="298"/>
      <c r="I11" s="486" t="s">
        <v>799</v>
      </c>
      <c r="K11" s="99"/>
      <c r="L11" s="485"/>
      <c r="M11" s="496" t="s">
        <v>475</v>
      </c>
      <c r="N11" s="496" t="s">
        <v>476</v>
      </c>
      <c r="O11" s="496" t="s">
        <v>477</v>
      </c>
      <c r="P11" s="496" t="s">
        <v>478</v>
      </c>
      <c r="Q11" s="496" t="s">
        <v>434</v>
      </c>
      <c r="R11" s="298"/>
      <c r="S11" s="486" t="s">
        <v>799</v>
      </c>
      <c r="T11" s="99"/>
      <c r="V11" s="497"/>
      <c r="W11" s="498" t="s">
        <v>676</v>
      </c>
      <c r="X11" s="498" t="s">
        <v>677</v>
      </c>
      <c r="Y11" s="498" t="s">
        <v>678</v>
      </c>
      <c r="Z11" s="499" t="s">
        <v>799</v>
      </c>
    </row>
    <row r="12" spans="1:33" ht="33" customHeight="1" thickTop="1" thickBot="1" x14ac:dyDescent="0.3">
      <c r="A12" s="95" t="s">
        <v>454</v>
      </c>
      <c r="B12" s="487" t="s">
        <v>556</v>
      </c>
      <c r="C12" s="500">
        <v>60</v>
      </c>
      <c r="D12" s="500">
        <v>65</v>
      </c>
      <c r="E12" s="500">
        <v>64.535714285714292</v>
      </c>
      <c r="F12" s="500">
        <v>65</v>
      </c>
      <c r="G12" s="491">
        <v>65</v>
      </c>
      <c r="H12" s="490"/>
      <c r="I12" s="491">
        <v>28</v>
      </c>
      <c r="K12" s="99"/>
      <c r="L12" s="487" t="s">
        <v>46</v>
      </c>
      <c r="M12" s="500">
        <v>60</v>
      </c>
      <c r="N12" s="500">
        <v>65</v>
      </c>
      <c r="O12" s="500">
        <v>64.782608695652172</v>
      </c>
      <c r="P12" s="500">
        <v>65</v>
      </c>
      <c r="Q12" s="491">
        <v>65</v>
      </c>
      <c r="R12" s="490"/>
      <c r="S12" s="491">
        <v>23</v>
      </c>
      <c r="T12" s="99"/>
      <c r="U12" s="48" t="s">
        <v>46</v>
      </c>
      <c r="V12" s="501" t="s">
        <v>887</v>
      </c>
      <c r="W12" s="502">
        <v>0.77272727272727271</v>
      </c>
      <c r="X12" s="502">
        <v>0.13636363636363635</v>
      </c>
      <c r="Y12" s="502">
        <v>4.5454545454545456E-2</v>
      </c>
      <c r="Z12" s="503">
        <v>22</v>
      </c>
    </row>
    <row r="13" spans="1:33" ht="33" customHeight="1" thickBot="1" x14ac:dyDescent="0.3">
      <c r="A13" s="95" t="s">
        <v>455</v>
      </c>
      <c r="B13" s="492" t="s">
        <v>557</v>
      </c>
      <c r="C13" s="504" t="s">
        <v>675</v>
      </c>
      <c r="D13" s="504" t="s">
        <v>675</v>
      </c>
      <c r="E13" s="504" t="s">
        <v>675</v>
      </c>
      <c r="F13" s="504" t="s">
        <v>675</v>
      </c>
      <c r="G13" s="495" t="s">
        <v>250</v>
      </c>
      <c r="H13" s="490"/>
      <c r="I13" s="495">
        <v>0</v>
      </c>
      <c r="K13" s="99"/>
      <c r="L13" s="492" t="s">
        <v>18</v>
      </c>
      <c r="M13" s="504">
        <v>60</v>
      </c>
      <c r="N13" s="504">
        <v>65</v>
      </c>
      <c r="O13" s="504">
        <v>63.4</v>
      </c>
      <c r="P13" s="504">
        <v>65</v>
      </c>
      <c r="Q13" s="495">
        <v>65</v>
      </c>
      <c r="R13" s="490"/>
      <c r="S13" s="495">
        <v>5</v>
      </c>
      <c r="T13" s="99"/>
      <c r="U13" s="48" t="s">
        <v>18</v>
      </c>
      <c r="V13" s="501" t="s">
        <v>18</v>
      </c>
      <c r="W13" s="502">
        <v>0.4</v>
      </c>
      <c r="X13" s="502">
        <v>0.2</v>
      </c>
      <c r="Y13" s="502">
        <v>0</v>
      </c>
      <c r="Z13" s="503">
        <v>10</v>
      </c>
    </row>
    <row r="14" spans="1:33" ht="33" customHeight="1" thickTop="1" thickBot="1" x14ac:dyDescent="0.3">
      <c r="A14" s="95" t="s">
        <v>456</v>
      </c>
      <c r="B14" s="487" t="s">
        <v>558</v>
      </c>
      <c r="C14" s="500">
        <v>65</v>
      </c>
      <c r="D14" s="500">
        <v>65</v>
      </c>
      <c r="E14" s="500">
        <v>65</v>
      </c>
      <c r="F14" s="500">
        <v>65</v>
      </c>
      <c r="G14" s="491">
        <v>65</v>
      </c>
      <c r="H14" s="490"/>
      <c r="I14" s="491">
        <v>13</v>
      </c>
      <c r="K14" s="99"/>
      <c r="L14" s="505" t="s">
        <v>883</v>
      </c>
      <c r="M14" s="500">
        <v>60</v>
      </c>
      <c r="N14" s="500">
        <v>65</v>
      </c>
      <c r="O14" s="500">
        <v>64.535714285714292</v>
      </c>
      <c r="P14" s="500">
        <v>65</v>
      </c>
      <c r="Q14" s="491">
        <v>65</v>
      </c>
      <c r="R14" s="490"/>
      <c r="S14" s="491">
        <v>28</v>
      </c>
      <c r="T14" s="99"/>
      <c r="V14" s="506" t="s">
        <v>883</v>
      </c>
      <c r="W14" s="507">
        <v>0.65625</v>
      </c>
      <c r="X14" s="507">
        <v>0.15625</v>
      </c>
      <c r="Y14" s="507">
        <v>3.125E-2</v>
      </c>
      <c r="Z14" s="508">
        <v>32</v>
      </c>
    </row>
    <row r="15" spans="1:33" ht="34.5" customHeight="1" thickBot="1" x14ac:dyDescent="0.3">
      <c r="K15" s="99"/>
      <c r="L15" s="99"/>
      <c r="M15" s="99"/>
      <c r="N15" s="99"/>
      <c r="O15" s="99"/>
      <c r="P15" s="99"/>
      <c r="Q15" s="99"/>
      <c r="R15" s="99"/>
      <c r="S15" s="99"/>
      <c r="T15" s="99"/>
      <c r="V15" s="509" t="s">
        <v>888</v>
      </c>
      <c r="W15" s="510">
        <v>0.82171428571428573</v>
      </c>
      <c r="X15" s="510">
        <v>0.94704999999999995</v>
      </c>
      <c r="Y15" s="510" t="s">
        <v>719</v>
      </c>
      <c r="Z15" s="511">
        <v>10</v>
      </c>
    </row>
    <row r="16" spans="1:33" ht="34.5" customHeight="1" thickTop="1" x14ac:dyDescent="0.25">
      <c r="K16" s="99"/>
      <c r="L16" s="99"/>
      <c r="M16" s="99"/>
      <c r="N16" s="99"/>
      <c r="O16" s="99"/>
      <c r="P16" s="99"/>
      <c r="Q16" s="99"/>
      <c r="R16" s="99"/>
      <c r="S16" s="99"/>
      <c r="T16" s="99"/>
      <c r="V16" s="299"/>
      <c r="W16" s="300"/>
      <c r="X16" s="300"/>
      <c r="Y16" s="301"/>
      <c r="Z16" s="301"/>
    </row>
    <row r="17" spans="1:26" ht="22.5" customHeight="1" thickBot="1" x14ac:dyDescent="0.3">
      <c r="B17" s="89" t="s">
        <v>889</v>
      </c>
      <c r="C17" s="89"/>
      <c r="D17" s="89"/>
      <c r="E17" s="89"/>
      <c r="F17" s="89"/>
      <c r="G17" s="89"/>
      <c r="H17" s="89"/>
      <c r="I17" s="89"/>
      <c r="K17" s="99"/>
      <c r="L17" s="89" t="s">
        <v>889</v>
      </c>
      <c r="M17" s="89"/>
      <c r="N17" s="89"/>
      <c r="O17" s="89"/>
      <c r="P17" s="89"/>
      <c r="Q17" s="89"/>
      <c r="R17" s="99"/>
      <c r="S17" s="99"/>
      <c r="T17" s="99"/>
      <c r="V17" s="104" t="s">
        <v>890</v>
      </c>
    </row>
    <row r="18" spans="1:26" ht="33" customHeight="1" thickTop="1" thickBot="1" x14ac:dyDescent="0.3">
      <c r="B18" s="485"/>
      <c r="C18" s="496" t="s">
        <v>475</v>
      </c>
      <c r="D18" s="496" t="s">
        <v>476</v>
      </c>
      <c r="E18" s="496" t="s">
        <v>477</v>
      </c>
      <c r="F18" s="496" t="s">
        <v>478</v>
      </c>
      <c r="G18" s="496" t="s">
        <v>434</v>
      </c>
      <c r="H18" s="298"/>
      <c r="I18" s="486" t="s">
        <v>799</v>
      </c>
      <c r="K18" s="99"/>
      <c r="L18" s="485"/>
      <c r="M18" s="496" t="s">
        <v>475</v>
      </c>
      <c r="N18" s="496" t="s">
        <v>476</v>
      </c>
      <c r="O18" s="496" t="s">
        <v>477</v>
      </c>
      <c r="P18" s="496" t="s">
        <v>478</v>
      </c>
      <c r="Q18" s="496" t="s">
        <v>434</v>
      </c>
      <c r="R18" s="298"/>
      <c r="S18" s="486" t="s">
        <v>799</v>
      </c>
      <c r="T18" s="99"/>
      <c r="V18" s="497"/>
      <c r="W18" s="498" t="s">
        <v>589</v>
      </c>
      <c r="X18" s="498" t="s">
        <v>474</v>
      </c>
      <c r="Y18" s="498" t="s">
        <v>471</v>
      </c>
      <c r="Z18" s="499" t="s">
        <v>799</v>
      </c>
    </row>
    <row r="19" spans="1:26" ht="33" customHeight="1" thickTop="1" thickBot="1" x14ac:dyDescent="0.3">
      <c r="A19" s="95" t="s">
        <v>457</v>
      </c>
      <c r="B19" s="487" t="s">
        <v>556</v>
      </c>
      <c r="C19" s="512">
        <v>1.7857000000000001E-2</v>
      </c>
      <c r="D19" s="512">
        <v>0.02</v>
      </c>
      <c r="E19" s="512">
        <v>2.0291000000000007E-2</v>
      </c>
      <c r="F19" s="512">
        <v>2.5000000000000001E-2</v>
      </c>
      <c r="G19" s="512">
        <v>0.02</v>
      </c>
      <c r="H19" s="490"/>
      <c r="I19" s="491">
        <v>27</v>
      </c>
      <c r="K19" s="99"/>
      <c r="L19" s="487" t="s">
        <v>46</v>
      </c>
      <c r="M19" s="512">
        <v>0.02</v>
      </c>
      <c r="N19" s="512">
        <v>0.02</v>
      </c>
      <c r="O19" s="512">
        <v>2.0000000000000004E-2</v>
      </c>
      <c r="P19" s="512">
        <v>0.02</v>
      </c>
      <c r="Q19" s="512">
        <v>0.02</v>
      </c>
      <c r="R19" s="490"/>
      <c r="S19" s="491">
        <v>22</v>
      </c>
      <c r="T19" s="99"/>
      <c r="U19" s="48" t="s">
        <v>46</v>
      </c>
      <c r="V19" s="501" t="s">
        <v>887</v>
      </c>
      <c r="W19" s="502">
        <v>6.25E-2</v>
      </c>
      <c r="X19" s="502">
        <v>0.25</v>
      </c>
      <c r="Y19" s="502">
        <v>0.625</v>
      </c>
      <c r="Z19" s="503">
        <v>16</v>
      </c>
    </row>
    <row r="20" spans="1:26" ht="33" customHeight="1" thickBot="1" x14ac:dyDescent="0.3">
      <c r="A20" s="95" t="s">
        <v>458</v>
      </c>
      <c r="B20" s="492" t="s">
        <v>557</v>
      </c>
      <c r="C20" s="580" t="s">
        <v>559</v>
      </c>
      <c r="D20" s="580"/>
      <c r="E20" s="580"/>
      <c r="F20" s="580"/>
      <c r="G20" s="513" t="s">
        <v>250</v>
      </c>
      <c r="H20" s="490"/>
      <c r="I20" s="495">
        <v>0</v>
      </c>
      <c r="K20" s="99"/>
      <c r="L20" s="492" t="s">
        <v>18</v>
      </c>
      <c r="M20" s="514">
        <v>1.7857000000000001E-2</v>
      </c>
      <c r="N20" s="514">
        <v>0.02</v>
      </c>
      <c r="O20" s="514">
        <v>2.1571399999999998E-2</v>
      </c>
      <c r="P20" s="514">
        <v>2.5000000000000001E-2</v>
      </c>
      <c r="Q20" s="513">
        <v>0.02</v>
      </c>
      <c r="R20" s="490"/>
      <c r="S20" s="495">
        <v>5</v>
      </c>
      <c r="T20" s="99"/>
      <c r="U20" s="48" t="s">
        <v>18</v>
      </c>
      <c r="V20" s="501" t="s">
        <v>18</v>
      </c>
      <c r="W20" s="502">
        <v>0.16666666666666666</v>
      </c>
      <c r="X20" s="502">
        <v>0.33333333333333331</v>
      </c>
      <c r="Y20" s="502">
        <v>0.5</v>
      </c>
      <c r="Z20" s="503">
        <v>6</v>
      </c>
    </row>
    <row r="21" spans="1:26" ht="33" customHeight="1" thickTop="1" thickBot="1" x14ac:dyDescent="0.3">
      <c r="A21" s="95" t="s">
        <v>459</v>
      </c>
      <c r="B21" s="487" t="s">
        <v>558</v>
      </c>
      <c r="C21" s="512">
        <v>0.01</v>
      </c>
      <c r="D21" s="512">
        <v>0.01</v>
      </c>
      <c r="E21" s="512">
        <v>1.0999999999999999E-2</v>
      </c>
      <c r="F21" s="512">
        <v>1.4999999999999999E-2</v>
      </c>
      <c r="G21" s="512">
        <v>0.01</v>
      </c>
      <c r="H21" s="490"/>
      <c r="I21" s="491">
        <v>10</v>
      </c>
      <c r="K21" s="99"/>
      <c r="L21" s="505" t="s">
        <v>883</v>
      </c>
      <c r="M21" s="512">
        <v>1.7857000000000001E-2</v>
      </c>
      <c r="N21" s="512">
        <v>0.02</v>
      </c>
      <c r="O21" s="512">
        <v>2.0291000000000007E-2</v>
      </c>
      <c r="P21" s="512">
        <v>2.5000000000000001E-2</v>
      </c>
      <c r="Q21" s="512">
        <v>0.02</v>
      </c>
      <c r="R21" s="490"/>
      <c r="S21" s="491">
        <v>27</v>
      </c>
      <c r="T21" s="99"/>
      <c r="V21" s="515" t="s">
        <v>883</v>
      </c>
      <c r="W21" s="507">
        <v>9.0909090909090912E-2</v>
      </c>
      <c r="X21" s="507">
        <v>0.27272727272727271</v>
      </c>
      <c r="Y21" s="507">
        <v>0.59090909090909094</v>
      </c>
      <c r="Z21" s="508">
        <v>22</v>
      </c>
    </row>
    <row r="22" spans="1:26" ht="15" customHeight="1" x14ac:dyDescent="0.25">
      <c r="K22" s="99"/>
      <c r="L22" s="99"/>
      <c r="M22" s="99"/>
      <c r="N22" s="99"/>
      <c r="O22" s="99"/>
      <c r="P22" s="99"/>
      <c r="Q22" s="99"/>
      <c r="R22" s="99"/>
      <c r="S22" s="99"/>
      <c r="T22" s="99"/>
    </row>
    <row r="23" spans="1:26" ht="15" customHeight="1" x14ac:dyDescent="0.25">
      <c r="K23" s="99"/>
      <c r="L23" s="99"/>
      <c r="M23" s="99"/>
      <c r="N23" s="99"/>
      <c r="O23" s="99"/>
      <c r="P23" s="99"/>
      <c r="Q23" s="99"/>
      <c r="R23" s="99"/>
      <c r="S23" s="99"/>
      <c r="T23" s="99"/>
    </row>
    <row r="24" spans="1:26" ht="22.5" customHeight="1" thickBot="1" x14ac:dyDescent="0.3">
      <c r="B24" s="89" t="s">
        <v>891</v>
      </c>
      <c r="C24" s="89"/>
      <c r="D24" s="89"/>
      <c r="E24" s="89"/>
      <c r="F24" s="89"/>
      <c r="G24" s="89"/>
      <c r="H24" s="89"/>
      <c r="I24" s="89"/>
      <c r="K24" s="99"/>
      <c r="L24" s="89" t="s">
        <v>891</v>
      </c>
      <c r="M24" s="89"/>
      <c r="N24" s="89"/>
      <c r="O24" s="89"/>
      <c r="P24" s="89"/>
      <c r="Q24" s="89"/>
      <c r="R24" s="89"/>
      <c r="S24" s="89"/>
      <c r="T24" s="99"/>
    </row>
    <row r="25" spans="1:26" ht="33" customHeight="1" thickTop="1" thickBot="1" x14ac:dyDescent="0.3">
      <c r="B25" s="485"/>
      <c r="C25" s="496" t="s">
        <v>475</v>
      </c>
      <c r="D25" s="496" t="s">
        <v>476</v>
      </c>
      <c r="E25" s="496" t="s">
        <v>477</v>
      </c>
      <c r="F25" s="496" t="s">
        <v>478</v>
      </c>
      <c r="G25" s="496" t="s">
        <v>434</v>
      </c>
      <c r="H25" s="298"/>
      <c r="I25" s="486" t="s">
        <v>799</v>
      </c>
      <c r="K25" s="99"/>
      <c r="L25" s="485"/>
      <c r="M25" s="496" t="s">
        <v>475</v>
      </c>
      <c r="N25" s="496" t="s">
        <v>476</v>
      </c>
      <c r="O25" s="496" t="s">
        <v>477</v>
      </c>
      <c r="P25" s="496" t="s">
        <v>478</v>
      </c>
      <c r="Q25" s="496" t="s">
        <v>434</v>
      </c>
      <c r="R25" s="298"/>
      <c r="S25" s="486" t="s">
        <v>799</v>
      </c>
      <c r="T25" s="99"/>
    </row>
    <row r="26" spans="1:26" ht="33" customHeight="1" thickTop="1" thickBot="1" x14ac:dyDescent="0.3">
      <c r="A26" s="95" t="s">
        <v>460</v>
      </c>
      <c r="B26" s="487" t="s">
        <v>556</v>
      </c>
      <c r="C26" s="512">
        <v>0.01</v>
      </c>
      <c r="D26" s="512">
        <v>2.75E-2</v>
      </c>
      <c r="E26" s="512">
        <v>2.687500000000001E-2</v>
      </c>
      <c r="F26" s="512">
        <v>0.03</v>
      </c>
      <c r="G26" s="512">
        <v>2.75E-2</v>
      </c>
      <c r="H26" s="490"/>
      <c r="I26" s="491">
        <v>20</v>
      </c>
      <c r="K26" s="99"/>
      <c r="L26" s="487" t="s">
        <v>46</v>
      </c>
      <c r="M26" s="512">
        <v>0.01</v>
      </c>
      <c r="N26" s="512">
        <v>2.75E-2</v>
      </c>
      <c r="O26" s="512">
        <v>2.6527777777777789E-2</v>
      </c>
      <c r="P26" s="512">
        <v>2.75E-2</v>
      </c>
      <c r="Q26" s="512">
        <v>2.75E-2</v>
      </c>
      <c r="R26" s="490"/>
      <c r="S26" s="516">
        <v>32</v>
      </c>
      <c r="T26" s="99"/>
    </row>
    <row r="27" spans="1:26" ht="33" customHeight="1" thickBot="1" x14ac:dyDescent="0.3">
      <c r="A27" s="95" t="s">
        <v>461</v>
      </c>
      <c r="B27" s="492" t="s">
        <v>557</v>
      </c>
      <c r="C27" s="514">
        <v>0.01</v>
      </c>
      <c r="D27" s="514">
        <v>0.03</v>
      </c>
      <c r="E27" s="514">
        <v>2.6000000000000002E-2</v>
      </c>
      <c r="F27" s="514">
        <v>0.03</v>
      </c>
      <c r="G27" s="513" t="s">
        <v>250</v>
      </c>
      <c r="H27" s="490"/>
      <c r="I27" s="495">
        <v>5</v>
      </c>
      <c r="K27" s="99"/>
      <c r="L27" s="492" t="s">
        <v>18</v>
      </c>
      <c r="M27" s="514">
        <v>0.03</v>
      </c>
      <c r="N27" s="514">
        <v>0.03</v>
      </c>
      <c r="O27" s="514">
        <v>0.03</v>
      </c>
      <c r="P27" s="514">
        <v>0.03</v>
      </c>
      <c r="Q27" s="513">
        <v>2.75E-2</v>
      </c>
      <c r="R27" s="490"/>
      <c r="S27" s="495">
        <v>15</v>
      </c>
      <c r="T27" s="99"/>
    </row>
    <row r="28" spans="1:26" ht="33" customHeight="1" thickTop="1" thickBot="1" x14ac:dyDescent="0.3">
      <c r="A28" s="95" t="s">
        <v>462</v>
      </c>
      <c r="B28" s="487" t="s">
        <v>558</v>
      </c>
      <c r="C28" s="512" t="s">
        <v>675</v>
      </c>
      <c r="D28" s="512" t="s">
        <v>675</v>
      </c>
      <c r="E28" s="512" t="s">
        <v>675</v>
      </c>
      <c r="F28" s="512" t="s">
        <v>675</v>
      </c>
      <c r="G28" s="512">
        <v>2.75E-2</v>
      </c>
      <c r="H28" s="490"/>
      <c r="I28" s="491">
        <v>3</v>
      </c>
      <c r="K28" s="99"/>
      <c r="L28" s="505" t="s">
        <v>883</v>
      </c>
      <c r="M28" s="512">
        <v>0.01</v>
      </c>
      <c r="N28" s="512">
        <v>2.75E-2</v>
      </c>
      <c r="O28" s="512">
        <v>2.687500000000001E-2</v>
      </c>
      <c r="P28" s="512">
        <v>0.03</v>
      </c>
      <c r="Q28" s="512">
        <v>2.75E-2</v>
      </c>
      <c r="R28" s="490"/>
      <c r="S28" s="516">
        <v>47</v>
      </c>
      <c r="T28" s="99"/>
    </row>
    <row r="29" spans="1:26" ht="15" customHeight="1" x14ac:dyDescent="0.25">
      <c r="K29" s="99"/>
      <c r="T29" s="99"/>
    </row>
    <row r="30" spans="1:26" ht="22.5" customHeight="1" thickBot="1" x14ac:dyDescent="0.3">
      <c r="B30" s="89" t="s">
        <v>892</v>
      </c>
      <c r="C30" s="89"/>
      <c r="D30" s="89"/>
      <c r="E30" s="89"/>
      <c r="F30" s="89"/>
      <c r="G30" s="89"/>
      <c r="H30" s="89"/>
      <c r="I30" s="89"/>
      <c r="K30" s="99"/>
      <c r="L30" s="89" t="s">
        <v>892</v>
      </c>
      <c r="M30" s="89"/>
      <c r="N30" s="89"/>
      <c r="O30" s="89"/>
      <c r="P30" s="89"/>
      <c r="Q30" s="89"/>
      <c r="R30" s="89"/>
      <c r="S30" s="89"/>
      <c r="T30" s="99"/>
    </row>
    <row r="31" spans="1:26" ht="33" customHeight="1" thickTop="1" thickBot="1" x14ac:dyDescent="0.3">
      <c r="B31" s="485"/>
      <c r="C31" s="486" t="s">
        <v>475</v>
      </c>
      <c r="D31" s="486" t="s">
        <v>476</v>
      </c>
      <c r="E31" s="486" t="s">
        <v>477</v>
      </c>
      <c r="F31" s="486" t="s">
        <v>478</v>
      </c>
      <c r="G31" s="486" t="s">
        <v>434</v>
      </c>
      <c r="H31" s="298"/>
      <c r="I31" s="486" t="s">
        <v>799</v>
      </c>
      <c r="K31" s="99"/>
      <c r="L31" s="485"/>
      <c r="M31" s="486" t="s">
        <v>475</v>
      </c>
      <c r="N31" s="486" t="s">
        <v>476</v>
      </c>
      <c r="O31" s="486" t="s">
        <v>477</v>
      </c>
      <c r="P31" s="486" t="s">
        <v>478</v>
      </c>
      <c r="Q31" s="486" t="s">
        <v>434</v>
      </c>
      <c r="R31" s="298"/>
      <c r="S31" s="486" t="s">
        <v>799</v>
      </c>
      <c r="T31" s="99"/>
    </row>
    <row r="32" spans="1:26" ht="33" customHeight="1" thickTop="1" thickBot="1" x14ac:dyDescent="0.3">
      <c r="A32" s="95" t="s">
        <v>463</v>
      </c>
      <c r="B32" s="487" t="s">
        <v>556</v>
      </c>
      <c r="C32" s="489">
        <v>0.40251572327044027</v>
      </c>
      <c r="D32" s="489">
        <v>0.5</v>
      </c>
      <c r="E32" s="489">
        <v>0.5055079655919994</v>
      </c>
      <c r="F32" s="489">
        <v>0.59748427672955973</v>
      </c>
      <c r="G32" s="489">
        <v>0.5</v>
      </c>
      <c r="H32" s="490"/>
      <c r="I32" s="491">
        <v>25</v>
      </c>
      <c r="K32" s="99"/>
      <c r="L32" s="487" t="s">
        <v>46</v>
      </c>
      <c r="M32" s="489">
        <v>0.40251572327044027</v>
      </c>
      <c r="N32" s="489">
        <v>0.5</v>
      </c>
      <c r="O32" s="489">
        <v>0.50586681342872875</v>
      </c>
      <c r="P32" s="489">
        <v>0.59748427672955973</v>
      </c>
      <c r="Q32" s="489">
        <v>0.5</v>
      </c>
      <c r="R32" s="490"/>
      <c r="S32" s="516">
        <v>23</v>
      </c>
      <c r="T32" s="99"/>
    </row>
    <row r="33" spans="1:20" ht="33" customHeight="1" thickBot="1" x14ac:dyDescent="0.3">
      <c r="A33" s="95" t="s">
        <v>464</v>
      </c>
      <c r="B33" s="492" t="s">
        <v>557</v>
      </c>
      <c r="C33" s="494">
        <v>0</v>
      </c>
      <c r="D33" s="494">
        <v>0</v>
      </c>
      <c r="E33" s="494">
        <v>0.18500259170653907</v>
      </c>
      <c r="F33" s="494">
        <v>0.65300000000000002</v>
      </c>
      <c r="G33" s="494" t="s">
        <v>250</v>
      </c>
      <c r="H33" s="490"/>
      <c r="I33" s="495">
        <v>12</v>
      </c>
      <c r="K33" s="99"/>
      <c r="L33" s="492" t="s">
        <v>18</v>
      </c>
      <c r="M33" s="517" t="s">
        <v>675</v>
      </c>
      <c r="N33" s="517" t="s">
        <v>675</v>
      </c>
      <c r="O33" s="517" t="s">
        <v>675</v>
      </c>
      <c r="P33" s="517" t="s">
        <v>675</v>
      </c>
      <c r="Q33" s="494">
        <v>0.5</v>
      </c>
      <c r="R33" s="490"/>
      <c r="S33" s="495">
        <v>2</v>
      </c>
      <c r="T33" s="99"/>
    </row>
    <row r="34" spans="1:20" ht="33" customHeight="1" thickTop="1" thickBot="1" x14ac:dyDescent="0.3">
      <c r="A34" s="95" t="s">
        <v>465</v>
      </c>
      <c r="B34" s="487" t="s">
        <v>558</v>
      </c>
      <c r="C34" s="518">
        <v>0</v>
      </c>
      <c r="D34" s="518">
        <v>0.65517241379310343</v>
      </c>
      <c r="E34" s="518">
        <v>0.65103448275862064</v>
      </c>
      <c r="F34" s="518">
        <v>1</v>
      </c>
      <c r="G34" s="512">
        <v>1</v>
      </c>
      <c r="H34" s="490"/>
      <c r="I34" s="491">
        <v>5</v>
      </c>
      <c r="K34" s="99"/>
      <c r="L34" s="505" t="s">
        <v>883</v>
      </c>
      <c r="M34" s="489">
        <v>0.40251572327044027</v>
      </c>
      <c r="N34" s="489">
        <v>0.5</v>
      </c>
      <c r="O34" s="489">
        <v>0.5055079655919994</v>
      </c>
      <c r="P34" s="489">
        <v>0.59748427672955973</v>
      </c>
      <c r="Q34" s="489">
        <v>0.5</v>
      </c>
      <c r="R34" s="490"/>
      <c r="S34" s="516">
        <v>25</v>
      </c>
      <c r="T34" s="99"/>
    </row>
    <row r="35" spans="1:20" ht="15" customHeight="1" x14ac:dyDescent="0.25">
      <c r="K35" s="99"/>
      <c r="L35" s="99"/>
      <c r="M35" s="99"/>
      <c r="N35" s="99"/>
      <c r="O35" s="99"/>
      <c r="P35" s="99"/>
      <c r="Q35" s="99"/>
      <c r="R35" s="99"/>
      <c r="S35" s="99"/>
      <c r="T35" s="99"/>
    </row>
  </sheetData>
  <mergeCells count="1">
    <mergeCell ref="C20:F20"/>
  </mergeCells>
  <printOptions horizontalCentered="1" verticalCentered="1"/>
  <pageMargins left="0.7" right="0.7" top="0.75" bottom="0.75" header="0.3" footer="0.3"/>
  <pageSetup scale="84" orientation="landscape" verticalDpi="1200" r:id="rId1"/>
  <rowBreaks count="2" manualBreakCount="2">
    <brk id="8" max="20" man="1"/>
    <brk id="22" max="16383" man="1"/>
  </rowBreaks>
  <colBreaks count="1" manualBreakCount="1">
    <brk id="10"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064A4-FE1D-4BBE-A5AB-B48EC9F75C3A}">
  <sheetPr codeName="Sheet38">
    <tabColor theme="6" tint="0.39997558519241921"/>
    <pageSetUpPr fitToPage="1"/>
  </sheetPr>
  <dimension ref="A2:K9"/>
  <sheetViews>
    <sheetView showGridLines="0" zoomScale="55" zoomScaleNormal="55" zoomScaleSheetLayoutView="85" workbookViewId="0">
      <selection activeCell="D20" sqref="D20"/>
    </sheetView>
  </sheetViews>
  <sheetFormatPr defaultColWidth="9.28515625" defaultRowHeight="15" x14ac:dyDescent="0.25"/>
  <cols>
    <col min="1" max="1" width="10.42578125" customWidth="1"/>
    <col min="3" max="3" width="40.5703125" customWidth="1"/>
    <col min="4" max="8" width="14.7109375" customWidth="1"/>
    <col min="9" max="9" width="25.7109375" customWidth="1"/>
    <col min="10" max="10" width="14.7109375" customWidth="1"/>
    <col min="11" max="11" width="9.28515625" customWidth="1"/>
  </cols>
  <sheetData>
    <row r="2" spans="1:11" ht="18" x14ac:dyDescent="0.25">
      <c r="B2" s="40" t="s">
        <v>893</v>
      </c>
      <c r="C2" s="40"/>
      <c r="D2" s="40"/>
      <c r="E2" s="40"/>
      <c r="F2" s="40"/>
      <c r="G2" s="40"/>
      <c r="H2" s="40"/>
      <c r="I2" s="40"/>
      <c r="J2" s="40"/>
      <c r="K2" s="18"/>
    </row>
    <row r="3" spans="1:11" ht="32.25" thickBot="1" x14ac:dyDescent="0.3">
      <c r="B3" s="28"/>
      <c r="C3" s="28" t="s">
        <v>894</v>
      </c>
      <c r="D3" s="17" t="s">
        <v>475</v>
      </c>
      <c r="E3" s="17" t="s">
        <v>476</v>
      </c>
      <c r="F3" s="17" t="s">
        <v>477</v>
      </c>
      <c r="G3" s="17" t="s">
        <v>478</v>
      </c>
      <c r="H3" s="17" t="s">
        <v>434</v>
      </c>
      <c r="I3" s="242" t="s">
        <v>895</v>
      </c>
      <c r="J3" s="17" t="s">
        <v>896</v>
      </c>
    </row>
    <row r="4" spans="1:11" ht="44.45" customHeight="1" x14ac:dyDescent="0.25">
      <c r="A4" s="48" t="s">
        <v>440</v>
      </c>
      <c r="B4" s="581" t="s">
        <v>519</v>
      </c>
      <c r="C4" s="239" t="s">
        <v>549</v>
      </c>
      <c r="D4" s="235">
        <v>0</v>
      </c>
      <c r="E4" s="235">
        <v>0.02</v>
      </c>
      <c r="F4" s="235">
        <v>0.16994736842105262</v>
      </c>
      <c r="G4" s="235">
        <v>0.95</v>
      </c>
      <c r="H4" s="235">
        <v>0.2</v>
      </c>
      <c r="I4" s="243">
        <v>0.73684210526315785</v>
      </c>
      <c r="J4" s="234">
        <v>19</v>
      </c>
    </row>
    <row r="5" spans="1:11" ht="44.45" customHeight="1" x14ac:dyDescent="0.25">
      <c r="A5" s="48" t="s">
        <v>441</v>
      </c>
      <c r="B5" s="582"/>
      <c r="C5" s="221" t="s">
        <v>550</v>
      </c>
      <c r="D5" s="224">
        <v>0</v>
      </c>
      <c r="E5" s="224">
        <v>6.0000000000000005E-2</v>
      </c>
      <c r="F5" s="224">
        <v>0.1506875</v>
      </c>
      <c r="G5" s="224">
        <v>0.75</v>
      </c>
      <c r="H5" s="224">
        <v>0.3</v>
      </c>
      <c r="I5" s="240">
        <v>0.6875</v>
      </c>
      <c r="J5" s="231">
        <v>16</v>
      </c>
    </row>
    <row r="6" spans="1:11" ht="44.45" customHeight="1" thickBot="1" x14ac:dyDescent="0.3">
      <c r="A6" s="48" t="s">
        <v>442</v>
      </c>
      <c r="B6" s="583"/>
      <c r="C6" s="222" t="s">
        <v>551</v>
      </c>
      <c r="D6" s="233">
        <v>0</v>
      </c>
      <c r="E6" s="233">
        <v>0.17499999999999999</v>
      </c>
      <c r="F6" s="233">
        <v>0.26431176470588236</v>
      </c>
      <c r="G6" s="233">
        <v>0.94</v>
      </c>
      <c r="H6" s="233">
        <v>0.34</v>
      </c>
      <c r="I6" s="244">
        <v>0.76470588235294112</v>
      </c>
      <c r="J6" s="232">
        <v>17</v>
      </c>
    </row>
    <row r="7" spans="1:11" ht="44.45" customHeight="1" x14ac:dyDescent="0.25">
      <c r="A7" s="31" t="s">
        <v>440</v>
      </c>
      <c r="B7" s="584" t="s">
        <v>837</v>
      </c>
      <c r="C7" s="223" t="s">
        <v>549</v>
      </c>
      <c r="D7" s="238">
        <v>5.0000000000000001E-3</v>
      </c>
      <c r="E7" s="238">
        <v>0.13500000000000001</v>
      </c>
      <c r="F7" s="238">
        <v>0.23064285714285712</v>
      </c>
      <c r="G7" s="238">
        <v>0.95</v>
      </c>
      <c r="H7" s="238">
        <v>0.2</v>
      </c>
      <c r="I7" s="241">
        <v>1</v>
      </c>
      <c r="J7" s="237">
        <v>14</v>
      </c>
    </row>
    <row r="8" spans="1:11" ht="44.45" customHeight="1" x14ac:dyDescent="0.25">
      <c r="A8" s="31" t="s">
        <v>441</v>
      </c>
      <c r="B8" s="582"/>
      <c r="C8" s="221" t="s">
        <v>550</v>
      </c>
      <c r="D8" s="224">
        <v>5.0000000000000001E-3</v>
      </c>
      <c r="E8" s="224">
        <v>0.13600000000000001</v>
      </c>
      <c r="F8" s="224">
        <v>0.21918181818181817</v>
      </c>
      <c r="G8" s="224">
        <v>0.75</v>
      </c>
      <c r="H8" s="224">
        <v>0.3</v>
      </c>
      <c r="I8" s="240">
        <v>1</v>
      </c>
      <c r="J8" s="231">
        <v>11</v>
      </c>
    </row>
    <row r="9" spans="1:11" ht="44.45" customHeight="1" thickBot="1" x14ac:dyDescent="0.3">
      <c r="A9" s="31" t="s">
        <v>442</v>
      </c>
      <c r="B9" s="583"/>
      <c r="C9" s="222" t="s">
        <v>551</v>
      </c>
      <c r="D9" s="233">
        <v>0.05</v>
      </c>
      <c r="E9" s="233">
        <v>0.25</v>
      </c>
      <c r="F9" s="233">
        <v>0.34563846153846151</v>
      </c>
      <c r="G9" s="233">
        <v>0.94</v>
      </c>
      <c r="H9" s="233">
        <v>0.34</v>
      </c>
      <c r="I9" s="244">
        <v>1</v>
      </c>
      <c r="J9" s="232">
        <v>13</v>
      </c>
    </row>
  </sheetData>
  <mergeCells count="2">
    <mergeCell ref="B4:B6"/>
    <mergeCell ref="B7:B9"/>
  </mergeCells>
  <printOptions horizontalCentered="1" verticalCentered="1"/>
  <pageMargins left="0.7" right="0.7" top="0.75" bottom="0.75" header="0.3" footer="0.3"/>
  <pageSetup scale="70"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B4675-016B-49DC-BBB3-401139F90370}">
  <sheetPr codeName="Sheet31">
    <tabColor theme="6" tint="0.39997558519241921"/>
    <pageSetUpPr fitToPage="1"/>
  </sheetPr>
  <dimension ref="A2:O32"/>
  <sheetViews>
    <sheetView showGridLines="0" zoomScale="70" zoomScaleNormal="70" zoomScaleSheetLayoutView="55" workbookViewId="0">
      <selection activeCell="R30" sqref="R30"/>
    </sheetView>
  </sheetViews>
  <sheetFormatPr defaultColWidth="9.28515625" defaultRowHeight="15" x14ac:dyDescent="0.25"/>
  <cols>
    <col min="2" max="2" width="38.7109375" customWidth="1"/>
    <col min="3" max="7" width="10.5703125" customWidth="1"/>
    <col min="8" max="8" width="3.7109375" hidden="1" customWidth="1"/>
    <col min="9" max="9" width="10.5703125" customWidth="1"/>
    <col min="10" max="10" width="9.28515625" customWidth="1"/>
    <col min="11" max="11" width="27.42578125" bestFit="1" customWidth="1"/>
    <col min="12" max="12" width="6" bestFit="1" customWidth="1"/>
    <col min="13" max="13" width="10.42578125" bestFit="1" customWidth="1"/>
  </cols>
  <sheetData>
    <row r="2" spans="1:15" ht="18.75" thickBot="1" x14ac:dyDescent="0.3">
      <c r="B2" s="41" t="s">
        <v>897</v>
      </c>
      <c r="C2" s="41"/>
      <c r="D2" s="41"/>
      <c r="E2" s="41"/>
      <c r="F2" s="41"/>
      <c r="G2" s="41"/>
      <c r="H2" s="41"/>
      <c r="I2" s="41"/>
    </row>
    <row r="3" spans="1:15" ht="41.25" customHeight="1" thickTop="1" thickBot="1" x14ac:dyDescent="0.3">
      <c r="B3" s="477"/>
      <c r="C3" s="455" t="s">
        <v>475</v>
      </c>
      <c r="D3" s="455" t="s">
        <v>476</v>
      </c>
      <c r="E3" s="455" t="s">
        <v>477</v>
      </c>
      <c r="F3" s="455" t="s">
        <v>478</v>
      </c>
      <c r="G3" s="519" t="s">
        <v>434</v>
      </c>
      <c r="H3" s="348"/>
      <c r="I3" s="455" t="s">
        <v>896</v>
      </c>
    </row>
    <row r="4" spans="1:15" ht="48" customHeight="1" thickTop="1" thickBot="1" x14ac:dyDescent="0.3">
      <c r="A4" s="48" t="s">
        <v>452</v>
      </c>
      <c r="B4" s="404" t="s">
        <v>552</v>
      </c>
      <c r="C4" s="473">
        <v>0.03</v>
      </c>
      <c r="D4" s="473">
        <v>0.625</v>
      </c>
      <c r="E4" s="473">
        <v>0.57899999999999996</v>
      </c>
      <c r="F4" s="473">
        <v>0.85</v>
      </c>
      <c r="G4" s="520">
        <v>0.66</v>
      </c>
      <c r="H4" s="426"/>
      <c r="I4" s="462">
        <v>10</v>
      </c>
    </row>
    <row r="5" spans="1:15" ht="48" customHeight="1" thickBot="1" x14ac:dyDescent="0.3">
      <c r="A5" s="48" t="s">
        <v>453</v>
      </c>
      <c r="B5" s="404" t="s">
        <v>553</v>
      </c>
      <c r="C5" s="473">
        <v>0.62</v>
      </c>
      <c r="D5" s="473">
        <v>0.82</v>
      </c>
      <c r="E5" s="473">
        <v>0.79820000000000002</v>
      </c>
      <c r="F5" s="473">
        <v>0.91100000000000003</v>
      </c>
      <c r="G5" s="520">
        <v>0.65</v>
      </c>
      <c r="H5" s="427"/>
      <c r="I5" s="462">
        <v>5</v>
      </c>
    </row>
    <row r="6" spans="1:15" ht="48" customHeight="1" thickBot="1" x14ac:dyDescent="0.3">
      <c r="B6" s="521" t="s">
        <v>48</v>
      </c>
      <c r="C6" s="585" t="s">
        <v>554</v>
      </c>
      <c r="D6" s="585"/>
      <c r="E6" s="585"/>
      <c r="F6" s="585"/>
      <c r="G6" s="585"/>
      <c r="H6" s="585"/>
      <c r="I6" s="585"/>
    </row>
    <row r="7" spans="1:15" ht="17.25" thickTop="1" x14ac:dyDescent="0.3">
      <c r="B7" s="26"/>
      <c r="C7" s="26"/>
      <c r="D7" s="26"/>
      <c r="E7" s="26"/>
      <c r="F7" s="26"/>
      <c r="G7" s="26"/>
      <c r="H7" s="26"/>
      <c r="I7" s="26"/>
    </row>
    <row r="8" spans="1:15" ht="18" x14ac:dyDescent="0.25">
      <c r="B8" s="39" t="s">
        <v>898</v>
      </c>
      <c r="C8" s="39"/>
      <c r="D8" s="39"/>
      <c r="E8" s="39"/>
      <c r="F8" s="39"/>
      <c r="G8" s="39"/>
      <c r="H8" s="39"/>
      <c r="I8" s="39"/>
    </row>
    <row r="10" spans="1:15" x14ac:dyDescent="0.25">
      <c r="K10" s="143" t="s">
        <v>643</v>
      </c>
      <c r="L10" s="144" t="s">
        <v>590</v>
      </c>
      <c r="M10" s="144" t="s">
        <v>636</v>
      </c>
    </row>
    <row r="11" spans="1:15" x14ac:dyDescent="0.25">
      <c r="K11" s="137" t="s">
        <v>473</v>
      </c>
      <c r="L11" s="141">
        <v>6</v>
      </c>
      <c r="M11" s="145">
        <v>0.4</v>
      </c>
    </row>
    <row r="12" spans="1:15" x14ac:dyDescent="0.25">
      <c r="K12" s="137" t="s">
        <v>581</v>
      </c>
      <c r="L12" s="141">
        <v>5</v>
      </c>
      <c r="M12" s="145">
        <v>0.33333333333333331</v>
      </c>
    </row>
    <row r="13" spans="1:15" x14ac:dyDescent="0.25">
      <c r="K13" s="137" t="s">
        <v>642</v>
      </c>
      <c r="L13" s="141">
        <v>0</v>
      </c>
      <c r="M13" s="145">
        <v>0</v>
      </c>
      <c r="O13" s="65"/>
    </row>
    <row r="14" spans="1:15" x14ac:dyDescent="0.25">
      <c r="K14" s="137" t="s">
        <v>641</v>
      </c>
      <c r="L14" s="141">
        <v>0</v>
      </c>
      <c r="M14" s="145">
        <v>0</v>
      </c>
    </row>
    <row r="15" spans="1:15" x14ac:dyDescent="0.25">
      <c r="K15" s="137" t="s">
        <v>515</v>
      </c>
      <c r="L15" s="141">
        <v>4</v>
      </c>
      <c r="M15" s="145">
        <v>0.26666666666666666</v>
      </c>
    </row>
    <row r="16" spans="1:15" x14ac:dyDescent="0.25">
      <c r="K16" s="143" t="s">
        <v>241</v>
      </c>
      <c r="L16" s="144">
        <v>15</v>
      </c>
      <c r="M16" s="146">
        <v>1</v>
      </c>
    </row>
    <row r="28" spans="1:9" ht="18" x14ac:dyDescent="0.25">
      <c r="B28" s="40" t="s">
        <v>899</v>
      </c>
      <c r="C28" s="40"/>
      <c r="D28" s="40"/>
      <c r="E28" s="40"/>
      <c r="F28" s="40"/>
      <c r="G28" s="40"/>
      <c r="H28" s="40"/>
      <c r="I28" s="40"/>
    </row>
    <row r="29" spans="1:9" ht="48" customHeight="1" thickBot="1" x14ac:dyDescent="0.3">
      <c r="B29" s="346" t="s">
        <v>19</v>
      </c>
      <c r="C29" s="347" t="s">
        <v>475</v>
      </c>
      <c r="D29" s="347" t="s">
        <v>476</v>
      </c>
      <c r="E29" s="347" t="s">
        <v>477</v>
      </c>
      <c r="F29" s="347" t="s">
        <v>478</v>
      </c>
      <c r="G29" s="347" t="s">
        <v>896</v>
      </c>
      <c r="H29" s="348"/>
      <c r="I29" s="347" t="s">
        <v>434</v>
      </c>
    </row>
    <row r="30" spans="1:9" ht="48" customHeight="1" thickTop="1" thickBot="1" x14ac:dyDescent="0.3">
      <c r="A30" s="48" t="s">
        <v>46</v>
      </c>
      <c r="B30" s="404" t="s">
        <v>46</v>
      </c>
      <c r="C30" s="473">
        <v>1.32E-2</v>
      </c>
      <c r="D30" s="473">
        <v>8.1764508554176454E-2</v>
      </c>
      <c r="E30" s="473">
        <v>8.2296450855417647E-2</v>
      </c>
      <c r="F30" s="473">
        <v>0.158</v>
      </c>
      <c r="G30" s="462">
        <v>20</v>
      </c>
      <c r="H30" s="426"/>
      <c r="I30" s="522">
        <v>0.105</v>
      </c>
    </row>
    <row r="31" spans="1:9" ht="48" customHeight="1" thickBot="1" x14ac:dyDescent="0.3">
      <c r="A31" s="48" t="s">
        <v>18</v>
      </c>
      <c r="B31" s="404" t="s">
        <v>18</v>
      </c>
      <c r="C31" s="473">
        <v>0</v>
      </c>
      <c r="D31" s="473">
        <v>0.14000000000000001</v>
      </c>
      <c r="E31" s="473">
        <v>0.14047142857142855</v>
      </c>
      <c r="F31" s="473">
        <v>0.2253</v>
      </c>
      <c r="G31" s="462">
        <v>7</v>
      </c>
      <c r="H31" s="427"/>
      <c r="I31" s="523">
        <v>0.105</v>
      </c>
    </row>
    <row r="32" spans="1:9" ht="48" customHeight="1" thickBot="1" x14ac:dyDescent="0.3">
      <c r="B32" s="349" t="s">
        <v>883</v>
      </c>
      <c r="C32" s="524">
        <v>0</v>
      </c>
      <c r="D32" s="524">
        <v>0.09</v>
      </c>
      <c r="E32" s="524">
        <v>9.7378852485494549E-2</v>
      </c>
      <c r="F32" s="524">
        <v>0.2253</v>
      </c>
      <c r="G32" s="471">
        <v>27</v>
      </c>
      <c r="H32" s="439"/>
      <c r="I32" s="525">
        <v>0.105</v>
      </c>
    </row>
  </sheetData>
  <mergeCells count="1">
    <mergeCell ref="C6:I6"/>
  </mergeCells>
  <pageMargins left="0.7" right="0.7" top="0.7" bottom="0.7" header="0.3" footer="0.3"/>
  <pageSetup scale="98" fitToHeight="0" orientation="landscape" r:id="rId1"/>
  <rowBreaks count="1" manualBreakCount="1">
    <brk id="26" max="9"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2">
    <tabColor theme="6" tint="0.39997558519241921"/>
  </sheetPr>
  <dimension ref="A1:BM51"/>
  <sheetViews>
    <sheetView showGridLines="0" zoomScale="55" zoomScaleNormal="55" workbookViewId="0">
      <selection activeCell="Z13" sqref="Z13"/>
    </sheetView>
  </sheetViews>
  <sheetFormatPr defaultColWidth="9.28515625" defaultRowHeight="15" x14ac:dyDescent="0.25"/>
  <cols>
    <col min="1" max="1" width="2.42578125" customWidth="1"/>
    <col min="2" max="2" width="22.28515625" bestFit="1" customWidth="1"/>
    <col min="3" max="3" width="24.28515625" bestFit="1" customWidth="1"/>
    <col min="4" max="4" width="36.28515625" customWidth="1"/>
    <col min="5" max="5" width="3.42578125" customWidth="1"/>
    <col min="6" max="6" width="3.28515625" customWidth="1"/>
    <col min="7" max="7" width="42.42578125" customWidth="1"/>
    <col min="8" max="8" width="28.28515625" customWidth="1"/>
    <col min="9" max="9" width="23.140625" customWidth="1"/>
    <col min="10" max="10" width="26.5703125" customWidth="1"/>
    <col min="11" max="13" width="10.7109375" customWidth="1"/>
    <col min="15" max="24" width="9.28515625" customWidth="1"/>
    <col min="26" max="26" width="28" customWidth="1"/>
    <col min="27" max="32" width="10.7109375" customWidth="1"/>
    <col min="35" max="35" width="17" customWidth="1"/>
    <col min="36" max="41" width="10.7109375" customWidth="1"/>
    <col min="44" max="44" width="24.140625" customWidth="1"/>
    <col min="45" max="50" width="10.7109375" customWidth="1"/>
    <col min="56" max="56" width="27.7109375" customWidth="1"/>
    <col min="57" max="62" width="10.7109375" customWidth="1"/>
  </cols>
  <sheetData>
    <row r="1" spans="2:62" x14ac:dyDescent="0.25">
      <c r="AA1" s="31" t="s">
        <v>46</v>
      </c>
      <c r="AB1" s="31"/>
      <c r="AC1" s="31" t="s">
        <v>18</v>
      </c>
      <c r="AD1" s="31"/>
      <c r="AJ1" s="31" t="s">
        <v>46</v>
      </c>
      <c r="AK1" s="31"/>
      <c r="AL1" s="31" t="s">
        <v>18</v>
      </c>
      <c r="AM1" s="31"/>
      <c r="AS1" s="31" t="s">
        <v>46</v>
      </c>
      <c r="AT1" s="31"/>
      <c r="AU1" s="31" t="s">
        <v>18</v>
      </c>
      <c r="AV1" s="31"/>
      <c r="BE1" s="31" t="s">
        <v>46</v>
      </c>
      <c r="BF1" s="31"/>
      <c r="BG1" s="31" t="s">
        <v>18</v>
      </c>
      <c r="BH1" s="31"/>
    </row>
    <row r="2" spans="2:62" ht="18" x14ac:dyDescent="0.25">
      <c r="G2" s="40" t="s">
        <v>708</v>
      </c>
      <c r="H2" s="40"/>
      <c r="I2" s="40"/>
      <c r="J2" s="40"/>
      <c r="K2" s="18"/>
      <c r="M2" s="18"/>
      <c r="P2" s="40" t="s">
        <v>707</v>
      </c>
      <c r="Q2" s="40"/>
      <c r="R2" s="40"/>
      <c r="S2" s="40"/>
      <c r="T2" s="40"/>
      <c r="U2" s="40"/>
      <c r="V2" s="40"/>
      <c r="W2" s="40"/>
      <c r="Z2" s="40" t="s">
        <v>709</v>
      </c>
      <c r="AA2" s="40"/>
      <c r="AB2" s="40"/>
      <c r="AC2" s="40"/>
      <c r="AD2" s="40"/>
      <c r="AE2" s="40"/>
      <c r="AF2" s="40"/>
      <c r="AG2" s="20"/>
      <c r="AH2" s="20"/>
      <c r="AI2" s="40" t="s">
        <v>715</v>
      </c>
      <c r="AJ2" s="40"/>
      <c r="AK2" s="40"/>
      <c r="AL2" s="40"/>
      <c r="AM2" s="40"/>
      <c r="AN2" s="40"/>
      <c r="AO2" s="40"/>
      <c r="AP2" s="20"/>
      <c r="AQ2" s="20"/>
      <c r="AR2" s="40" t="s">
        <v>715</v>
      </c>
      <c r="AS2" s="40"/>
      <c r="AT2" s="40"/>
      <c r="AU2" s="40"/>
      <c r="AV2" s="40"/>
      <c r="AW2" s="40"/>
      <c r="AX2" s="40"/>
      <c r="AY2" s="20"/>
      <c r="AZ2" s="20"/>
      <c r="BA2" s="20"/>
      <c r="BB2" s="20"/>
      <c r="BC2" s="20"/>
      <c r="BD2" s="40" t="s">
        <v>717</v>
      </c>
      <c r="BE2" s="40"/>
      <c r="BF2" s="40"/>
      <c r="BG2" s="40"/>
      <c r="BH2" s="40"/>
      <c r="BI2" s="40"/>
      <c r="BJ2" s="40"/>
    </row>
    <row r="3" spans="2:62" ht="32.25" customHeight="1" thickBot="1" x14ac:dyDescent="0.3">
      <c r="B3" s="268" t="s">
        <v>732</v>
      </c>
      <c r="C3" s="269" t="s">
        <v>696</v>
      </c>
      <c r="D3" s="270" t="s">
        <v>731</v>
      </c>
      <c r="O3" s="19"/>
      <c r="Z3" s="28"/>
      <c r="AA3" s="251" t="s">
        <v>710</v>
      </c>
      <c r="AB3" s="251"/>
      <c r="AC3" s="251" t="s">
        <v>711</v>
      </c>
      <c r="AD3" s="251"/>
      <c r="AE3" s="251" t="s">
        <v>712</v>
      </c>
      <c r="AF3" s="251"/>
      <c r="AI3" s="27"/>
      <c r="AJ3" s="66" t="s">
        <v>710</v>
      </c>
      <c r="AK3" s="66"/>
      <c r="AL3" s="66" t="s">
        <v>711</v>
      </c>
      <c r="AM3" s="66"/>
      <c r="AN3" s="66" t="s">
        <v>712</v>
      </c>
      <c r="AO3" s="66"/>
      <c r="AR3" s="27"/>
      <c r="AS3" s="251" t="s">
        <v>710</v>
      </c>
      <c r="AT3" s="251"/>
      <c r="AU3" s="251" t="s">
        <v>711</v>
      </c>
      <c r="AV3" s="251"/>
      <c r="AW3" s="251" t="s">
        <v>712</v>
      </c>
      <c r="AX3" s="251"/>
      <c r="BD3" s="28"/>
      <c r="BE3" s="251" t="s">
        <v>710</v>
      </c>
      <c r="BF3" s="251"/>
      <c r="BG3" s="251" t="s">
        <v>711</v>
      </c>
      <c r="BH3" s="251"/>
      <c r="BI3" s="251" t="s">
        <v>712</v>
      </c>
      <c r="BJ3" s="251"/>
    </row>
    <row r="4" spans="2:62" ht="33" customHeight="1" thickBot="1" x14ac:dyDescent="0.3">
      <c r="B4" s="264" t="s">
        <v>909</v>
      </c>
      <c r="C4" s="234" t="s">
        <v>46</v>
      </c>
      <c r="D4" s="265" t="s">
        <v>17</v>
      </c>
      <c r="G4" s="27" t="s">
        <v>13</v>
      </c>
      <c r="H4" s="17" t="s">
        <v>561</v>
      </c>
      <c r="I4" s="17" t="s">
        <v>562</v>
      </c>
      <c r="J4" s="17" t="s">
        <v>706</v>
      </c>
      <c r="Z4" s="252" t="s">
        <v>713</v>
      </c>
      <c r="AA4" s="253" t="s">
        <v>561</v>
      </c>
      <c r="AB4" s="253" t="s">
        <v>562</v>
      </c>
      <c r="AC4" s="253" t="s">
        <v>561</v>
      </c>
      <c r="AD4" s="253" t="s">
        <v>562</v>
      </c>
      <c r="AE4" s="253" t="s">
        <v>561</v>
      </c>
      <c r="AF4" s="253" t="s">
        <v>562</v>
      </c>
      <c r="AI4" s="27" t="s">
        <v>714</v>
      </c>
      <c r="AJ4" s="17" t="s">
        <v>561</v>
      </c>
      <c r="AK4" s="17" t="s">
        <v>562</v>
      </c>
      <c r="AL4" s="17" t="s">
        <v>561</v>
      </c>
      <c r="AM4" s="17" t="s">
        <v>562</v>
      </c>
      <c r="AN4" s="17" t="s">
        <v>561</v>
      </c>
      <c r="AO4" s="17" t="s">
        <v>562</v>
      </c>
      <c r="AR4" s="255" t="s">
        <v>714</v>
      </c>
      <c r="AS4" s="256" t="s">
        <v>561</v>
      </c>
      <c r="AT4" s="256" t="s">
        <v>562</v>
      </c>
      <c r="AU4" s="256" t="s">
        <v>561</v>
      </c>
      <c r="AV4" s="256" t="s">
        <v>562</v>
      </c>
      <c r="AW4" s="256" t="s">
        <v>561</v>
      </c>
      <c r="AX4" s="256" t="s">
        <v>562</v>
      </c>
      <c r="BD4" s="257" t="s">
        <v>716</v>
      </c>
      <c r="BE4" s="256" t="s">
        <v>561</v>
      </c>
      <c r="BF4" s="256" t="s">
        <v>562</v>
      </c>
      <c r="BG4" s="256" t="s">
        <v>561</v>
      </c>
      <c r="BH4" s="256" t="s">
        <v>562</v>
      </c>
      <c r="BI4" s="256" t="s">
        <v>561</v>
      </c>
      <c r="BJ4" s="256" t="s">
        <v>562</v>
      </c>
    </row>
    <row r="5" spans="2:62" ht="33" customHeight="1" x14ac:dyDescent="0.25">
      <c r="B5" s="266" t="s">
        <v>910</v>
      </c>
      <c r="C5" s="231" t="s">
        <v>46</v>
      </c>
      <c r="D5" s="267" t="s">
        <v>921</v>
      </c>
      <c r="G5" s="239" t="s">
        <v>15</v>
      </c>
      <c r="H5" s="234">
        <v>13</v>
      </c>
      <c r="I5" s="235">
        <v>0.35135135135135137</v>
      </c>
      <c r="J5" s="249">
        <v>0.40625</v>
      </c>
      <c r="Z5" s="223" t="s">
        <v>9</v>
      </c>
      <c r="AA5" s="237">
        <v>2</v>
      </c>
      <c r="AB5" s="238">
        <v>9.0909090909090912E-2</v>
      </c>
      <c r="AC5" s="237">
        <v>0</v>
      </c>
      <c r="AD5" s="237">
        <v>0</v>
      </c>
      <c r="AE5" s="237">
        <v>2</v>
      </c>
      <c r="AF5" s="238">
        <v>6.6666666666666666E-2</v>
      </c>
      <c r="AH5" s="67">
        <v>0</v>
      </c>
      <c r="AI5" s="239" t="s">
        <v>563</v>
      </c>
      <c r="AJ5" s="234">
        <v>0</v>
      </c>
      <c r="AK5" s="235">
        <v>0</v>
      </c>
      <c r="AL5" s="234">
        <v>3</v>
      </c>
      <c r="AM5" s="235">
        <v>0.375</v>
      </c>
      <c r="AN5" s="234">
        <v>3</v>
      </c>
      <c r="AO5" s="235">
        <v>0.10344827586206896</v>
      </c>
      <c r="AP5" s="65"/>
      <c r="AQ5" s="67">
        <v>0</v>
      </c>
      <c r="AR5" s="239" t="s">
        <v>563</v>
      </c>
      <c r="AS5" s="234">
        <v>0</v>
      </c>
      <c r="AT5" s="235">
        <v>0</v>
      </c>
      <c r="AU5" s="234">
        <v>3</v>
      </c>
      <c r="AV5" s="235">
        <v>0.375</v>
      </c>
      <c r="AW5" s="234">
        <v>3</v>
      </c>
      <c r="AX5" s="235">
        <v>0.10344827586206896</v>
      </c>
      <c r="AY5" s="65"/>
      <c r="AZ5" s="65"/>
      <c r="BA5" s="65"/>
      <c r="BB5" s="65"/>
      <c r="BC5" s="48">
        <v>35.6</v>
      </c>
      <c r="BD5" s="239" t="s">
        <v>564</v>
      </c>
      <c r="BE5" s="234">
        <v>0</v>
      </c>
      <c r="BF5" s="235">
        <v>0</v>
      </c>
      <c r="BG5" s="234">
        <v>0</v>
      </c>
      <c r="BH5" s="235">
        <v>0</v>
      </c>
      <c r="BI5" s="234">
        <v>0</v>
      </c>
      <c r="BJ5" s="235">
        <v>0</v>
      </c>
    </row>
    <row r="6" spans="2:62" ht="33" customHeight="1" x14ac:dyDescent="0.25">
      <c r="B6" s="266" t="s">
        <v>911</v>
      </c>
      <c r="C6" s="231" t="s">
        <v>46</v>
      </c>
      <c r="D6" s="267" t="s">
        <v>15</v>
      </c>
      <c r="G6" s="221" t="s">
        <v>16</v>
      </c>
      <c r="H6" s="231">
        <v>5</v>
      </c>
      <c r="I6" s="224">
        <v>0.13513513513513514</v>
      </c>
      <c r="J6" s="236">
        <v>0.15625</v>
      </c>
      <c r="Z6" s="221" t="s">
        <v>10</v>
      </c>
      <c r="AA6" s="231">
        <v>9</v>
      </c>
      <c r="AB6" s="224">
        <v>0.40909090909090912</v>
      </c>
      <c r="AC6" s="231">
        <v>0</v>
      </c>
      <c r="AD6" s="231">
        <v>0</v>
      </c>
      <c r="AE6" s="231">
        <v>9</v>
      </c>
      <c r="AF6" s="224">
        <v>0.3</v>
      </c>
      <c r="AH6" s="67">
        <v>0.1</v>
      </c>
      <c r="AI6" s="225" t="s">
        <v>565</v>
      </c>
      <c r="AJ6" s="254">
        <v>1</v>
      </c>
      <c r="AK6" s="226">
        <v>4.7619047619047616E-2</v>
      </c>
      <c r="AL6" s="254">
        <v>1</v>
      </c>
      <c r="AM6" s="226">
        <v>0.125</v>
      </c>
      <c r="AN6" s="254">
        <v>2</v>
      </c>
      <c r="AO6" s="226">
        <v>6.8965517241379309E-2</v>
      </c>
      <c r="AQ6" s="67">
        <v>0.33</v>
      </c>
      <c r="AR6" s="225" t="s">
        <v>667</v>
      </c>
      <c r="AS6" s="254">
        <v>1</v>
      </c>
      <c r="AT6" s="226">
        <v>4.7619047619047616E-2</v>
      </c>
      <c r="AU6" s="254">
        <v>1</v>
      </c>
      <c r="AV6" s="226">
        <v>0.125</v>
      </c>
      <c r="AW6" s="254">
        <v>2</v>
      </c>
      <c r="AX6" s="226">
        <v>6.8965517241379309E-2</v>
      </c>
      <c r="BC6" s="48">
        <v>37.5</v>
      </c>
      <c r="BD6" s="225" t="s">
        <v>566</v>
      </c>
      <c r="BE6" s="254">
        <v>1</v>
      </c>
      <c r="BF6" s="226">
        <v>4.3478260869565216E-2</v>
      </c>
      <c r="BG6" s="254">
        <v>0</v>
      </c>
      <c r="BH6" s="226">
        <v>0</v>
      </c>
      <c r="BI6" s="254">
        <v>1</v>
      </c>
      <c r="BJ6" s="226">
        <v>3.0303030303030304E-2</v>
      </c>
    </row>
    <row r="7" spans="2:62" ht="33" customHeight="1" x14ac:dyDescent="0.25">
      <c r="B7" s="266" t="s">
        <v>20</v>
      </c>
      <c r="C7" s="231" t="s">
        <v>46</v>
      </c>
      <c r="D7" s="267" t="s">
        <v>15</v>
      </c>
      <c r="G7" s="221" t="s">
        <v>17</v>
      </c>
      <c r="H7" s="231">
        <v>4</v>
      </c>
      <c r="I7" s="224">
        <v>0.10810810810810811</v>
      </c>
      <c r="J7" s="236">
        <v>0.125</v>
      </c>
      <c r="Z7" s="221" t="s">
        <v>11</v>
      </c>
      <c r="AA7" s="231">
        <v>10</v>
      </c>
      <c r="AB7" s="224">
        <v>0.45454545454545453</v>
      </c>
      <c r="AC7" s="231">
        <v>0</v>
      </c>
      <c r="AD7" s="231">
        <v>0</v>
      </c>
      <c r="AE7" s="231">
        <v>10</v>
      </c>
      <c r="AF7" s="224">
        <v>0.33333333333333331</v>
      </c>
      <c r="AH7" s="67">
        <v>0.2</v>
      </c>
      <c r="AI7" s="221" t="s">
        <v>567</v>
      </c>
      <c r="AJ7" s="231">
        <v>0</v>
      </c>
      <c r="AK7" s="224">
        <v>0</v>
      </c>
      <c r="AL7" s="231">
        <v>0</v>
      </c>
      <c r="AM7" s="224">
        <v>0</v>
      </c>
      <c r="AN7" s="231">
        <v>0</v>
      </c>
      <c r="AO7" s="224">
        <v>0</v>
      </c>
      <c r="AQ7" s="67">
        <v>0.5</v>
      </c>
      <c r="AR7" s="221" t="s">
        <v>668</v>
      </c>
      <c r="AS7" s="231">
        <v>4</v>
      </c>
      <c r="AT7" s="224">
        <v>0.19047619047619047</v>
      </c>
      <c r="AU7" s="231">
        <v>0</v>
      </c>
      <c r="AV7" s="224">
        <v>0</v>
      </c>
      <c r="AW7" s="231">
        <v>4</v>
      </c>
      <c r="AX7" s="224">
        <v>0.13793103448275862</v>
      </c>
      <c r="BC7" s="48">
        <v>40</v>
      </c>
      <c r="BD7" s="221" t="s">
        <v>568</v>
      </c>
      <c r="BE7" s="231">
        <v>22</v>
      </c>
      <c r="BF7" s="224">
        <v>0.95652173913043481</v>
      </c>
      <c r="BG7" s="231">
        <v>10</v>
      </c>
      <c r="BH7" s="224">
        <v>1</v>
      </c>
      <c r="BI7" s="231">
        <v>32</v>
      </c>
      <c r="BJ7" s="224">
        <v>0.96969696969696972</v>
      </c>
    </row>
    <row r="8" spans="2:62" ht="33" customHeight="1" thickBot="1" x14ac:dyDescent="0.3">
      <c r="B8" s="266" t="s">
        <v>21</v>
      </c>
      <c r="C8" s="231" t="s">
        <v>46</v>
      </c>
      <c r="D8" s="267" t="s">
        <v>900</v>
      </c>
      <c r="G8" s="221" t="s">
        <v>14</v>
      </c>
      <c r="H8" s="231">
        <v>15</v>
      </c>
      <c r="I8" s="224">
        <v>0.40540540540540543</v>
      </c>
      <c r="J8" s="231" t="s">
        <v>583</v>
      </c>
      <c r="Z8" s="221" t="s">
        <v>12</v>
      </c>
      <c r="AA8" s="231">
        <v>1</v>
      </c>
      <c r="AB8" s="224">
        <v>4.5454545454545456E-2</v>
      </c>
      <c r="AC8" s="231">
        <v>8</v>
      </c>
      <c r="AD8" s="224">
        <v>1</v>
      </c>
      <c r="AE8" s="231">
        <v>9</v>
      </c>
      <c r="AF8" s="224">
        <v>0.3</v>
      </c>
      <c r="AH8" s="67">
        <v>0.30000000000000004</v>
      </c>
      <c r="AI8" s="225" t="s">
        <v>569</v>
      </c>
      <c r="AJ8" s="254">
        <v>0</v>
      </c>
      <c r="AK8" s="226">
        <v>0</v>
      </c>
      <c r="AL8" s="254">
        <v>0</v>
      </c>
      <c r="AM8" s="226">
        <v>0</v>
      </c>
      <c r="AN8" s="254">
        <v>0</v>
      </c>
      <c r="AO8" s="226">
        <v>0</v>
      </c>
      <c r="AQ8" s="67">
        <v>0.67</v>
      </c>
      <c r="AR8" s="225" t="s">
        <v>669</v>
      </c>
      <c r="AS8" s="254">
        <v>4</v>
      </c>
      <c r="AT8" s="226">
        <v>0.19047619047619047</v>
      </c>
      <c r="AU8" s="254">
        <v>2</v>
      </c>
      <c r="AV8" s="226">
        <v>0.25</v>
      </c>
      <c r="AW8" s="254">
        <v>6</v>
      </c>
      <c r="AX8" s="226">
        <v>0.20689655172413793</v>
      </c>
      <c r="BD8" s="228" t="s">
        <v>570</v>
      </c>
      <c r="BE8" s="248">
        <v>23</v>
      </c>
      <c r="BF8" s="229">
        <v>1</v>
      </c>
      <c r="BG8" s="248">
        <v>10</v>
      </c>
      <c r="BH8" s="229">
        <v>1</v>
      </c>
      <c r="BI8" s="248">
        <v>33</v>
      </c>
      <c r="BJ8" s="229">
        <v>1</v>
      </c>
    </row>
    <row r="9" spans="2:62" ht="33" customHeight="1" thickBot="1" x14ac:dyDescent="0.3">
      <c r="B9" s="266" t="s">
        <v>22</v>
      </c>
      <c r="C9" s="231" t="s">
        <v>46</v>
      </c>
      <c r="D9" s="267" t="s">
        <v>15</v>
      </c>
      <c r="G9" s="228" t="s">
        <v>571</v>
      </c>
      <c r="H9" s="248">
        <v>37</v>
      </c>
      <c r="I9" s="229">
        <v>1</v>
      </c>
      <c r="J9" s="250" t="s">
        <v>583</v>
      </c>
      <c r="Z9" s="228" t="s">
        <v>571</v>
      </c>
      <c r="AA9" s="248">
        <v>22</v>
      </c>
      <c r="AB9" s="229">
        <v>1</v>
      </c>
      <c r="AC9" s="248">
        <v>8</v>
      </c>
      <c r="AD9" s="229">
        <v>1</v>
      </c>
      <c r="AE9" s="248">
        <v>30</v>
      </c>
      <c r="AF9" s="229">
        <v>1</v>
      </c>
      <c r="AH9" s="67">
        <v>0.4</v>
      </c>
      <c r="AI9" s="221" t="s">
        <v>572</v>
      </c>
      <c r="AJ9" s="231">
        <v>3</v>
      </c>
      <c r="AK9" s="224">
        <v>0.14285714285714285</v>
      </c>
      <c r="AL9" s="231">
        <v>0</v>
      </c>
      <c r="AM9" s="224">
        <v>0</v>
      </c>
      <c r="AN9" s="231">
        <v>3</v>
      </c>
      <c r="AO9" s="224">
        <v>0.10344827586206896</v>
      </c>
      <c r="AQ9" s="67">
        <v>1</v>
      </c>
      <c r="AR9" s="221" t="s">
        <v>670</v>
      </c>
      <c r="AS9" s="231">
        <v>12</v>
      </c>
      <c r="AT9" s="224">
        <v>0.5714285714285714</v>
      </c>
      <c r="AU9" s="231">
        <v>2</v>
      </c>
      <c r="AV9" s="224">
        <v>0.25</v>
      </c>
      <c r="AW9" s="231">
        <v>14</v>
      </c>
      <c r="AX9" s="224">
        <v>0.48275862068965519</v>
      </c>
      <c r="BD9" s="227" t="s">
        <v>48</v>
      </c>
      <c r="BE9" s="587" t="s">
        <v>573</v>
      </c>
      <c r="BF9" s="587"/>
      <c r="BG9" s="587"/>
      <c r="BH9" s="587"/>
      <c r="BI9" s="587"/>
      <c r="BJ9" s="587"/>
    </row>
    <row r="10" spans="2:62" ht="48" customHeight="1" thickBot="1" x14ac:dyDescent="0.3">
      <c r="B10" s="266" t="s">
        <v>23</v>
      </c>
      <c r="C10" s="231" t="s">
        <v>46</v>
      </c>
      <c r="D10" s="267" t="s">
        <v>921</v>
      </c>
      <c r="G10" s="227" t="s">
        <v>48</v>
      </c>
      <c r="H10" s="66" t="s">
        <v>901</v>
      </c>
      <c r="I10" s="66"/>
      <c r="J10" s="66"/>
      <c r="Z10" s="227" t="s">
        <v>48</v>
      </c>
      <c r="AA10" s="587" t="s">
        <v>574</v>
      </c>
      <c r="AB10" s="587"/>
      <c r="AC10" s="587"/>
      <c r="AD10" s="587"/>
      <c r="AE10" s="587"/>
      <c r="AF10" s="587"/>
      <c r="AH10" s="67">
        <v>0.5</v>
      </c>
      <c r="AI10" s="225" t="s">
        <v>575</v>
      </c>
      <c r="AJ10" s="254">
        <v>1</v>
      </c>
      <c r="AK10" s="226">
        <v>4.7619047619047616E-2</v>
      </c>
      <c r="AL10" s="254">
        <v>0</v>
      </c>
      <c r="AM10" s="226">
        <v>0</v>
      </c>
      <c r="AN10" s="254">
        <v>1</v>
      </c>
      <c r="AO10" s="226">
        <v>3.4482758620689655E-2</v>
      </c>
      <c r="AQ10" s="85"/>
      <c r="AR10" s="228" t="s">
        <v>570</v>
      </c>
      <c r="AS10" s="248">
        <v>21</v>
      </c>
      <c r="AT10" s="229">
        <v>1</v>
      </c>
      <c r="AU10" s="248">
        <v>8</v>
      </c>
      <c r="AV10" s="229">
        <v>1</v>
      </c>
      <c r="AW10" s="248">
        <v>29</v>
      </c>
      <c r="AX10" s="229">
        <v>1</v>
      </c>
      <c r="BD10" s="588"/>
      <c r="BE10" s="588"/>
      <c r="BF10" s="588"/>
      <c r="BG10" s="588"/>
      <c r="BH10" s="588"/>
      <c r="BI10" s="588"/>
      <c r="BJ10" s="588"/>
    </row>
    <row r="11" spans="2:62" ht="33" customHeight="1" thickBot="1" x14ac:dyDescent="0.3">
      <c r="B11" s="266" t="s">
        <v>24</v>
      </c>
      <c r="C11" s="231" t="s">
        <v>46</v>
      </c>
      <c r="D11" s="267" t="s">
        <v>921</v>
      </c>
      <c r="AH11" s="67">
        <v>0.6</v>
      </c>
      <c r="AI11" s="221" t="s">
        <v>576</v>
      </c>
      <c r="AJ11" s="231">
        <v>2</v>
      </c>
      <c r="AK11" s="224">
        <v>9.5238095238095233E-2</v>
      </c>
      <c r="AL11" s="231">
        <v>1</v>
      </c>
      <c r="AM11" s="224">
        <v>0.125</v>
      </c>
      <c r="AN11" s="231">
        <v>3</v>
      </c>
      <c r="AO11" s="224">
        <v>0.10344827586206896</v>
      </c>
      <c r="AQ11" s="85"/>
      <c r="AR11" s="227" t="s">
        <v>48</v>
      </c>
      <c r="AS11" s="587" t="s">
        <v>902</v>
      </c>
      <c r="AT11" s="587"/>
      <c r="AU11" s="587"/>
      <c r="AV11" s="587"/>
      <c r="AW11" s="587"/>
      <c r="AX11" s="587"/>
    </row>
    <row r="12" spans="2:62" ht="33" customHeight="1" x14ac:dyDescent="0.25">
      <c r="B12" s="266" t="s">
        <v>25</v>
      </c>
      <c r="C12" s="231" t="s">
        <v>46</v>
      </c>
      <c r="D12" s="267" t="s">
        <v>921</v>
      </c>
      <c r="G12" s="40" t="s">
        <v>452</v>
      </c>
      <c r="H12" s="40"/>
      <c r="I12" s="40"/>
      <c r="J12" s="40"/>
      <c r="K12" s="40"/>
      <c r="L12" s="40"/>
      <c r="AH12" s="67">
        <v>0.7</v>
      </c>
      <c r="AI12" s="225" t="s">
        <v>577</v>
      </c>
      <c r="AJ12" s="254">
        <v>3</v>
      </c>
      <c r="AK12" s="226">
        <v>0.14285714285714285</v>
      </c>
      <c r="AL12" s="254">
        <v>1</v>
      </c>
      <c r="AM12" s="226">
        <v>0.125</v>
      </c>
      <c r="AN12" s="254">
        <v>4</v>
      </c>
      <c r="AO12" s="226">
        <v>0.13793103448275862</v>
      </c>
      <c r="AQ12" s="85"/>
      <c r="AR12" s="588"/>
      <c r="AS12" s="588"/>
      <c r="AT12" s="588"/>
      <c r="AU12" s="588"/>
      <c r="AV12" s="588"/>
      <c r="AW12" s="588"/>
      <c r="AX12" s="588"/>
    </row>
    <row r="13" spans="2:62" ht="33" customHeight="1" x14ac:dyDescent="0.25">
      <c r="B13" s="266" t="s">
        <v>26</v>
      </c>
      <c r="C13" s="231" t="s">
        <v>46</v>
      </c>
      <c r="D13" s="267" t="s">
        <v>15</v>
      </c>
      <c r="G13" s="563" t="s">
        <v>696</v>
      </c>
      <c r="H13" s="589" t="s">
        <v>560</v>
      </c>
      <c r="I13" s="589" t="s">
        <v>702</v>
      </c>
      <c r="J13" s="589" t="s">
        <v>703</v>
      </c>
      <c r="K13" s="589" t="s">
        <v>704</v>
      </c>
      <c r="L13" s="589" t="s">
        <v>705</v>
      </c>
      <c r="AH13" s="67">
        <v>0.79999999999999993</v>
      </c>
      <c r="AI13" s="221" t="s">
        <v>578</v>
      </c>
      <c r="AJ13" s="231">
        <v>7</v>
      </c>
      <c r="AK13" s="224">
        <v>0.33333333333333331</v>
      </c>
      <c r="AL13" s="231">
        <v>0</v>
      </c>
      <c r="AM13" s="224">
        <v>0</v>
      </c>
      <c r="AN13" s="231">
        <v>7</v>
      </c>
      <c r="AO13" s="224">
        <v>0.2413793103448276</v>
      </c>
      <c r="AQ13" s="85"/>
    </row>
    <row r="14" spans="2:62" ht="33" customHeight="1" thickBot="1" x14ac:dyDescent="0.3">
      <c r="B14" s="266" t="s">
        <v>27</v>
      </c>
      <c r="C14" s="231" t="s">
        <v>46</v>
      </c>
      <c r="D14" s="267" t="s">
        <v>921</v>
      </c>
      <c r="G14" s="563"/>
      <c r="H14" s="589"/>
      <c r="I14" s="589"/>
      <c r="J14" s="589"/>
      <c r="K14" s="589"/>
      <c r="L14" s="589"/>
      <c r="AH14" s="67">
        <v>0.89999999999999991</v>
      </c>
      <c r="AI14" s="225" t="s">
        <v>579</v>
      </c>
      <c r="AJ14" s="254">
        <v>4</v>
      </c>
      <c r="AK14" s="226">
        <v>0.19047619047619047</v>
      </c>
      <c r="AL14" s="254">
        <v>2</v>
      </c>
      <c r="AM14" s="226">
        <v>0.25</v>
      </c>
      <c r="AN14" s="254">
        <v>6</v>
      </c>
      <c r="AO14" s="226">
        <v>0.20689655172413793</v>
      </c>
      <c r="AQ14" s="85"/>
      <c r="AR14" s="40"/>
      <c r="AS14" s="40"/>
      <c r="AT14" s="40"/>
      <c r="AU14" s="40"/>
      <c r="AV14" s="40"/>
      <c r="AW14" s="40"/>
      <c r="AX14" s="40"/>
    </row>
    <row r="15" spans="2:62" ht="33" customHeight="1" x14ac:dyDescent="0.25">
      <c r="B15" s="266" t="s">
        <v>28</v>
      </c>
      <c r="C15" s="231" t="s">
        <v>46</v>
      </c>
      <c r="D15" s="267" t="s">
        <v>921</v>
      </c>
      <c r="G15" s="239" t="s">
        <v>694</v>
      </c>
      <c r="H15" s="245">
        <v>32</v>
      </c>
      <c r="I15" s="234">
        <v>21</v>
      </c>
      <c r="J15" s="234">
        <v>11</v>
      </c>
      <c r="K15" s="246">
        <v>32</v>
      </c>
      <c r="L15" s="235">
        <v>1</v>
      </c>
      <c r="O15" s="40" t="s">
        <v>708</v>
      </c>
      <c r="P15" s="47"/>
      <c r="Q15" s="47"/>
      <c r="R15" s="47"/>
      <c r="S15" s="47"/>
      <c r="T15" s="47"/>
      <c r="U15" s="47"/>
      <c r="V15" s="47"/>
      <c r="W15" s="47"/>
      <c r="AH15" s="67">
        <v>0.99999999999999989</v>
      </c>
      <c r="AI15" s="221" t="s">
        <v>580</v>
      </c>
      <c r="AJ15" s="231">
        <v>0</v>
      </c>
      <c r="AK15" s="224">
        <v>0</v>
      </c>
      <c r="AL15" s="231">
        <v>0</v>
      </c>
      <c r="AM15" s="224">
        <v>0</v>
      </c>
      <c r="AN15" s="231">
        <v>0</v>
      </c>
      <c r="AO15" s="224">
        <v>0</v>
      </c>
      <c r="AQ15" s="85"/>
    </row>
    <row r="16" spans="2:62" ht="33" customHeight="1" thickBot="1" x14ac:dyDescent="0.3">
      <c r="B16" s="266" t="s">
        <v>912</v>
      </c>
      <c r="C16" s="231" t="s">
        <v>46</v>
      </c>
      <c r="D16" s="267" t="s">
        <v>900</v>
      </c>
      <c r="G16" s="221" t="s">
        <v>695</v>
      </c>
      <c r="H16" s="231">
        <v>15</v>
      </c>
      <c r="I16" s="231">
        <v>9</v>
      </c>
      <c r="J16" s="231">
        <v>6</v>
      </c>
      <c r="K16" s="247">
        <v>15</v>
      </c>
      <c r="L16" s="224">
        <v>1</v>
      </c>
      <c r="AH16" s="84"/>
      <c r="AI16" s="228" t="s">
        <v>570</v>
      </c>
      <c r="AJ16" s="248">
        <v>21</v>
      </c>
      <c r="AK16" s="229">
        <v>1</v>
      </c>
      <c r="AL16" s="248">
        <v>8</v>
      </c>
      <c r="AM16" s="229">
        <v>1</v>
      </c>
      <c r="AN16" s="248">
        <v>29</v>
      </c>
      <c r="AO16" s="229">
        <v>1</v>
      </c>
      <c r="AQ16" s="84"/>
    </row>
    <row r="17" spans="1:63" ht="33" customHeight="1" thickBot="1" x14ac:dyDescent="0.3">
      <c r="B17" s="266" t="s">
        <v>29</v>
      </c>
      <c r="C17" s="231" t="s">
        <v>46</v>
      </c>
      <c r="D17" s="267" t="s">
        <v>921</v>
      </c>
      <c r="G17" s="228" t="s">
        <v>241</v>
      </c>
      <c r="H17" s="248">
        <v>47</v>
      </c>
      <c r="I17" s="248">
        <v>30</v>
      </c>
      <c r="J17" s="248">
        <v>17</v>
      </c>
      <c r="K17" s="248">
        <v>47</v>
      </c>
      <c r="L17" s="229">
        <v>1</v>
      </c>
      <c r="AH17" s="84"/>
      <c r="AI17" s="227" t="s">
        <v>48</v>
      </c>
      <c r="AJ17" s="587" t="s">
        <v>902</v>
      </c>
      <c r="AK17" s="587"/>
      <c r="AL17" s="587"/>
      <c r="AM17" s="587"/>
      <c r="AN17" s="587"/>
      <c r="AO17" s="587"/>
      <c r="AQ17" s="84"/>
    </row>
    <row r="18" spans="1:63" ht="33" customHeight="1" x14ac:dyDescent="0.25">
      <c r="B18" s="266" t="s">
        <v>30</v>
      </c>
      <c r="C18" s="231" t="s">
        <v>46</v>
      </c>
      <c r="D18" s="267" t="s">
        <v>15</v>
      </c>
      <c r="AI18" s="588"/>
      <c r="AJ18" s="588"/>
      <c r="AK18" s="588"/>
      <c r="AL18" s="588"/>
      <c r="AM18" s="588"/>
      <c r="AN18" s="588"/>
      <c r="AO18" s="588"/>
    </row>
    <row r="19" spans="1:63" ht="33" customHeight="1" x14ac:dyDescent="0.25">
      <c r="A19" s="142"/>
      <c r="B19" s="266" t="s">
        <v>31</v>
      </c>
      <c r="C19" s="231" t="s">
        <v>46</v>
      </c>
      <c r="D19" s="267" t="s">
        <v>921</v>
      </c>
      <c r="E19" s="142"/>
      <c r="O19" s="142"/>
      <c r="P19" s="142"/>
      <c r="Q19" s="142"/>
      <c r="R19" s="142"/>
      <c r="S19" s="142"/>
      <c r="T19" s="142"/>
      <c r="U19" s="142"/>
      <c r="V19" s="142"/>
      <c r="W19" s="142"/>
      <c r="X19" s="142"/>
    </row>
    <row r="20" spans="1:63" ht="33" customHeight="1" x14ac:dyDescent="0.25">
      <c r="A20" s="142"/>
      <c r="B20" s="266" t="s">
        <v>588</v>
      </c>
      <c r="C20" s="231" t="s">
        <v>46</v>
      </c>
      <c r="D20" s="267" t="s">
        <v>15</v>
      </c>
      <c r="E20" s="142"/>
      <c r="G20" s="40"/>
      <c r="H20" s="40"/>
      <c r="I20" s="40"/>
      <c r="J20" s="40"/>
      <c r="K20" s="32"/>
      <c r="L20" s="47"/>
      <c r="M20" s="47"/>
      <c r="O20" s="142"/>
      <c r="P20" s="142"/>
      <c r="Q20" s="142"/>
      <c r="R20" s="142"/>
      <c r="S20" s="142"/>
      <c r="T20" s="142"/>
      <c r="U20" s="142"/>
      <c r="V20" s="142"/>
      <c r="W20" s="142"/>
      <c r="X20" s="142"/>
      <c r="Z20" s="40" t="s">
        <v>709</v>
      </c>
      <c r="AA20" s="40"/>
      <c r="AB20" s="40"/>
      <c r="AC20" s="40"/>
      <c r="AD20" s="40"/>
      <c r="AE20" s="40"/>
      <c r="AF20" s="40"/>
      <c r="AI20" s="40"/>
      <c r="AJ20" s="40"/>
      <c r="AK20" s="40"/>
      <c r="AL20" s="40"/>
      <c r="AM20" s="40"/>
      <c r="AN20" s="40"/>
      <c r="AO20" s="40"/>
      <c r="AP20" s="18"/>
      <c r="AR20" s="40" t="s">
        <v>715</v>
      </c>
      <c r="AS20" s="40"/>
      <c r="AT20" s="40"/>
      <c r="AU20" s="40"/>
      <c r="AV20" s="40"/>
      <c r="AW20" s="40"/>
      <c r="AX20" s="40"/>
      <c r="AY20" s="18"/>
      <c r="AZ20" s="18"/>
      <c r="BA20" s="18"/>
      <c r="BB20" s="18"/>
      <c r="BD20" s="40" t="s">
        <v>717</v>
      </c>
      <c r="BE20" s="40"/>
      <c r="BF20" s="40"/>
      <c r="BG20" s="40"/>
      <c r="BH20" s="40"/>
      <c r="BI20" s="40"/>
      <c r="BJ20" s="40"/>
      <c r="BK20" s="40"/>
    </row>
    <row r="21" spans="1:63" ht="33" customHeight="1" x14ac:dyDescent="0.25">
      <c r="A21" s="142"/>
      <c r="B21" s="266" t="s">
        <v>913</v>
      </c>
      <c r="C21" s="231" t="s">
        <v>46</v>
      </c>
      <c r="D21" s="267" t="s">
        <v>900</v>
      </c>
      <c r="E21" s="142"/>
      <c r="O21" s="142"/>
      <c r="P21" s="142"/>
      <c r="Q21" s="142"/>
      <c r="R21" s="142"/>
      <c r="S21" s="142"/>
      <c r="T21" s="142"/>
      <c r="U21" s="142"/>
      <c r="V21" s="142"/>
      <c r="W21" s="142"/>
      <c r="X21" s="142"/>
    </row>
    <row r="22" spans="1:63" ht="33" customHeight="1" x14ac:dyDescent="0.25">
      <c r="A22" s="142"/>
      <c r="B22" s="266" t="s">
        <v>32</v>
      </c>
      <c r="C22" s="231" t="s">
        <v>46</v>
      </c>
      <c r="D22" s="267" t="s">
        <v>900</v>
      </c>
      <c r="E22" s="142"/>
      <c r="O22" s="142"/>
      <c r="P22" s="142"/>
      <c r="Q22" s="142"/>
      <c r="R22" s="142"/>
      <c r="S22" s="142"/>
      <c r="T22" s="142"/>
      <c r="U22" s="142"/>
      <c r="V22" s="142"/>
      <c r="W22" s="142"/>
      <c r="X22" s="142"/>
    </row>
    <row r="23" spans="1:63" ht="33" customHeight="1" x14ac:dyDescent="0.25">
      <c r="A23" s="142"/>
      <c r="B23" s="266" t="s">
        <v>914</v>
      </c>
      <c r="C23" s="231" t="s">
        <v>46</v>
      </c>
      <c r="D23" s="267" t="s">
        <v>15</v>
      </c>
      <c r="E23" s="142"/>
      <c r="O23" s="142"/>
      <c r="P23" s="142"/>
      <c r="Q23" s="142"/>
      <c r="R23" s="142"/>
      <c r="S23" s="142"/>
      <c r="T23" s="142"/>
      <c r="U23" s="142"/>
      <c r="V23" s="142"/>
      <c r="W23" s="142"/>
      <c r="X23" s="142"/>
    </row>
    <row r="24" spans="1:63" ht="33" customHeight="1" x14ac:dyDescent="0.25">
      <c r="A24" s="142"/>
      <c r="B24" s="266" t="s">
        <v>33</v>
      </c>
      <c r="C24" s="231" t="s">
        <v>46</v>
      </c>
      <c r="D24" s="267" t="s">
        <v>15</v>
      </c>
      <c r="E24" s="142"/>
      <c r="O24" s="142"/>
      <c r="P24" s="142"/>
      <c r="Q24" s="142"/>
      <c r="R24" s="142"/>
      <c r="S24" s="142"/>
      <c r="T24" s="142"/>
      <c r="U24" s="142"/>
      <c r="V24" s="142"/>
      <c r="W24" s="142"/>
      <c r="X24" s="142"/>
    </row>
    <row r="25" spans="1:63" ht="33" customHeight="1" x14ac:dyDescent="0.25">
      <c r="A25" s="142"/>
      <c r="B25" s="266" t="s">
        <v>915</v>
      </c>
      <c r="C25" s="231" t="s">
        <v>46</v>
      </c>
      <c r="D25" s="267" t="s">
        <v>921</v>
      </c>
      <c r="E25" s="142"/>
      <c r="O25" s="142"/>
      <c r="P25" s="142"/>
      <c r="Q25" s="142"/>
      <c r="R25" s="142"/>
      <c r="S25" s="142"/>
      <c r="T25" s="142"/>
      <c r="U25" s="142"/>
      <c r="V25" s="142"/>
      <c r="W25" s="142"/>
      <c r="X25" s="142"/>
    </row>
    <row r="26" spans="1:63" ht="33" customHeight="1" x14ac:dyDescent="0.25">
      <c r="A26" s="142"/>
      <c r="B26" s="266" t="s">
        <v>34</v>
      </c>
      <c r="C26" s="231" t="s">
        <v>46</v>
      </c>
      <c r="D26" s="267" t="s">
        <v>15</v>
      </c>
      <c r="E26" s="142"/>
      <c r="O26" s="142"/>
      <c r="P26" s="142"/>
      <c r="Q26" s="142"/>
      <c r="R26" s="142"/>
      <c r="S26" s="142"/>
      <c r="T26" s="142"/>
      <c r="U26" s="142"/>
      <c r="V26" s="142"/>
      <c r="W26" s="142"/>
      <c r="X26" s="142"/>
    </row>
    <row r="27" spans="1:63" ht="33" customHeight="1" x14ac:dyDescent="0.25">
      <c r="A27" s="142"/>
      <c r="B27" s="266" t="s">
        <v>35</v>
      </c>
      <c r="C27" s="231" t="s">
        <v>46</v>
      </c>
      <c r="D27" s="267" t="s">
        <v>921</v>
      </c>
      <c r="E27" s="142"/>
      <c r="O27" s="142"/>
      <c r="P27" s="142"/>
      <c r="Q27" s="142"/>
      <c r="R27" s="142"/>
      <c r="S27" s="142"/>
      <c r="T27" s="142"/>
      <c r="U27" s="142"/>
      <c r="V27" s="142"/>
      <c r="W27" s="142"/>
      <c r="X27" s="142"/>
    </row>
    <row r="28" spans="1:63" ht="33" customHeight="1" x14ac:dyDescent="0.25">
      <c r="A28" s="142"/>
      <c r="B28" s="266" t="s">
        <v>36</v>
      </c>
      <c r="C28" s="231" t="s">
        <v>46</v>
      </c>
      <c r="D28" s="267" t="s">
        <v>15</v>
      </c>
      <c r="E28" s="142"/>
      <c r="O28" s="142"/>
      <c r="P28" s="142"/>
      <c r="Q28" s="142"/>
      <c r="R28" s="142"/>
      <c r="S28" s="142"/>
      <c r="T28" s="142"/>
      <c r="U28" s="142"/>
      <c r="V28" s="142"/>
      <c r="W28" s="142"/>
      <c r="X28" s="142"/>
    </row>
    <row r="29" spans="1:63" ht="33" customHeight="1" x14ac:dyDescent="0.25">
      <c r="A29" s="142"/>
      <c r="B29" s="266" t="s">
        <v>916</v>
      </c>
      <c r="C29" s="231" t="s">
        <v>46</v>
      </c>
      <c r="D29" s="267" t="s">
        <v>15</v>
      </c>
      <c r="E29" s="142"/>
      <c r="O29" s="142"/>
      <c r="P29" s="142"/>
      <c r="Q29" s="142"/>
      <c r="R29" s="142"/>
      <c r="S29" s="142"/>
      <c r="T29" s="142"/>
      <c r="U29" s="142"/>
      <c r="V29" s="142"/>
      <c r="W29" s="142"/>
      <c r="X29" s="142"/>
    </row>
    <row r="30" spans="1:63" ht="33" customHeight="1" x14ac:dyDescent="0.25">
      <c r="A30" s="142"/>
      <c r="B30" s="266" t="s">
        <v>917</v>
      </c>
      <c r="C30" s="231" t="s">
        <v>46</v>
      </c>
      <c r="D30" s="267" t="s">
        <v>15</v>
      </c>
      <c r="E30" s="142"/>
      <c r="O30" s="142"/>
      <c r="P30" s="142"/>
      <c r="Q30" s="142"/>
      <c r="R30" s="142"/>
      <c r="S30" s="142"/>
      <c r="T30" s="142"/>
      <c r="U30" s="142"/>
      <c r="V30" s="142"/>
      <c r="W30" s="142"/>
      <c r="X30" s="142"/>
    </row>
    <row r="31" spans="1:63" ht="33" customHeight="1" x14ac:dyDescent="0.25">
      <c r="A31" s="142"/>
      <c r="B31" s="266" t="s">
        <v>37</v>
      </c>
      <c r="C31" s="231" t="s">
        <v>46</v>
      </c>
      <c r="D31" s="267" t="s">
        <v>15</v>
      </c>
      <c r="E31" s="142"/>
      <c r="O31" s="142"/>
      <c r="P31" s="142"/>
      <c r="Q31" s="142"/>
      <c r="R31" s="142"/>
      <c r="S31" s="142"/>
      <c r="T31" s="142"/>
      <c r="U31" s="142"/>
      <c r="V31" s="142"/>
      <c r="W31" s="142"/>
      <c r="X31" s="142"/>
    </row>
    <row r="32" spans="1:63" ht="33" customHeight="1" x14ac:dyDescent="0.25">
      <c r="A32" s="142"/>
      <c r="B32" s="266" t="s">
        <v>38</v>
      </c>
      <c r="C32" s="231" t="s">
        <v>46</v>
      </c>
      <c r="D32" s="267" t="s">
        <v>17</v>
      </c>
      <c r="E32" s="142"/>
      <c r="O32" s="142"/>
      <c r="P32" s="142"/>
      <c r="Q32" s="142"/>
      <c r="R32" s="142"/>
      <c r="S32" s="142"/>
      <c r="T32" s="142"/>
      <c r="U32" s="142"/>
      <c r="V32" s="142"/>
      <c r="W32" s="142"/>
      <c r="X32" s="142"/>
    </row>
    <row r="33" spans="1:65" ht="33" customHeight="1" x14ac:dyDescent="0.25">
      <c r="A33" s="142"/>
      <c r="B33" s="266" t="s">
        <v>249</v>
      </c>
      <c r="C33" s="231" t="s">
        <v>46</v>
      </c>
      <c r="D33" s="267" t="s">
        <v>17</v>
      </c>
      <c r="E33" s="142"/>
      <c r="O33" s="142"/>
      <c r="P33" s="142"/>
      <c r="Q33" s="142"/>
      <c r="R33" s="142"/>
      <c r="S33" s="142"/>
      <c r="T33" s="142"/>
      <c r="U33" s="142"/>
      <c r="V33" s="142"/>
      <c r="W33" s="142"/>
      <c r="X33" s="142"/>
    </row>
    <row r="34" spans="1:65" ht="33" customHeight="1" x14ac:dyDescent="0.25">
      <c r="A34" s="142"/>
      <c r="B34" s="266" t="s">
        <v>39</v>
      </c>
      <c r="C34" s="231" t="s">
        <v>46</v>
      </c>
      <c r="D34" s="267" t="s">
        <v>900</v>
      </c>
      <c r="E34" s="142"/>
      <c r="O34" s="142"/>
      <c r="P34" s="142"/>
      <c r="Q34" s="142"/>
      <c r="R34" s="142"/>
      <c r="S34" s="142"/>
      <c r="T34" s="142"/>
      <c r="U34" s="142"/>
      <c r="V34" s="142"/>
      <c r="W34" s="142"/>
      <c r="X34" s="142"/>
    </row>
    <row r="35" spans="1:65" ht="33" customHeight="1" x14ac:dyDescent="0.25">
      <c r="A35" s="142"/>
      <c r="B35" s="266" t="s">
        <v>40</v>
      </c>
      <c r="C35" s="231" t="s">
        <v>46</v>
      </c>
      <c r="D35" s="267" t="s">
        <v>17</v>
      </c>
      <c r="E35" s="142"/>
      <c r="O35" s="142"/>
      <c r="P35" s="142"/>
      <c r="Q35" s="142"/>
      <c r="R35" s="142"/>
      <c r="S35" s="142"/>
      <c r="T35" s="142"/>
      <c r="U35" s="142"/>
      <c r="V35" s="142"/>
      <c r="W35" s="142"/>
      <c r="X35" s="142"/>
    </row>
    <row r="36" spans="1:65" ht="33" customHeight="1" x14ac:dyDescent="0.25">
      <c r="A36" s="142"/>
      <c r="B36" s="266" t="s">
        <v>230</v>
      </c>
      <c r="C36" s="231" t="s">
        <v>18</v>
      </c>
      <c r="D36" s="267" t="s">
        <v>14</v>
      </c>
      <c r="E36" s="142"/>
      <c r="O36" s="142"/>
      <c r="P36" s="142"/>
      <c r="Q36" s="142"/>
      <c r="R36" s="142"/>
      <c r="S36" s="142"/>
      <c r="T36" s="142"/>
      <c r="U36" s="142"/>
      <c r="V36" s="142"/>
      <c r="W36" s="142"/>
      <c r="X36" s="142"/>
    </row>
    <row r="37" spans="1:65" ht="33" customHeight="1" x14ac:dyDescent="0.25">
      <c r="A37" s="142"/>
      <c r="B37" s="266" t="s">
        <v>231</v>
      </c>
      <c r="C37" s="231" t="s">
        <v>18</v>
      </c>
      <c r="D37" s="267" t="s">
        <v>14</v>
      </c>
      <c r="E37" s="142"/>
      <c r="O37" s="142"/>
      <c r="P37" s="142"/>
      <c r="Q37" s="142"/>
      <c r="R37" s="142"/>
      <c r="S37" s="142"/>
      <c r="T37" s="142"/>
      <c r="U37" s="142"/>
      <c r="V37" s="142"/>
      <c r="W37" s="142"/>
      <c r="X37" s="142"/>
    </row>
    <row r="38" spans="1:65" ht="33" customHeight="1" x14ac:dyDescent="0.25">
      <c r="A38" s="142"/>
      <c r="B38" s="266" t="s">
        <v>41</v>
      </c>
      <c r="C38" s="231" t="s">
        <v>18</v>
      </c>
      <c r="D38" s="267" t="s">
        <v>14</v>
      </c>
      <c r="E38" s="142"/>
      <c r="O38" s="142"/>
      <c r="P38" s="142"/>
      <c r="Q38" s="142"/>
      <c r="R38" s="142"/>
      <c r="S38" s="142"/>
      <c r="T38" s="142"/>
      <c r="U38" s="142"/>
      <c r="V38" s="142"/>
      <c r="W38" s="142"/>
      <c r="X38" s="142"/>
    </row>
    <row r="39" spans="1:65" ht="33" customHeight="1" x14ac:dyDescent="0.25">
      <c r="A39" s="142"/>
      <c r="B39" s="266" t="s">
        <v>232</v>
      </c>
      <c r="C39" s="231" t="s">
        <v>18</v>
      </c>
      <c r="D39" s="267" t="s">
        <v>14</v>
      </c>
      <c r="E39" s="142"/>
      <c r="O39" s="142"/>
      <c r="P39" s="142"/>
      <c r="Q39" s="142"/>
      <c r="R39" s="142"/>
      <c r="S39" s="142"/>
      <c r="T39" s="142"/>
      <c r="U39" s="142"/>
      <c r="V39" s="142"/>
      <c r="W39" s="142"/>
      <c r="X39" s="142"/>
      <c r="AH39" s="69" t="s">
        <v>245</v>
      </c>
      <c r="AI39" s="69"/>
      <c r="AJ39" s="69"/>
      <c r="AK39" s="69"/>
      <c r="AL39" s="69"/>
      <c r="AM39" s="69"/>
      <c r="AQ39" s="69"/>
      <c r="AR39" s="69"/>
      <c r="AS39" s="69"/>
      <c r="AT39" s="69"/>
      <c r="AU39" s="69"/>
      <c r="AV39" s="69"/>
    </row>
    <row r="40" spans="1:65" ht="33" customHeight="1" x14ac:dyDescent="0.25">
      <c r="A40" s="142"/>
      <c r="B40" s="266" t="s">
        <v>918</v>
      </c>
      <c r="C40" s="231" t="s">
        <v>18</v>
      </c>
      <c r="D40" s="267" t="s">
        <v>14</v>
      </c>
      <c r="E40" s="142"/>
      <c r="O40" s="142"/>
      <c r="P40" s="142"/>
      <c r="Q40" s="142"/>
      <c r="R40" s="142"/>
      <c r="S40" s="142"/>
      <c r="T40" s="142"/>
      <c r="U40" s="142"/>
      <c r="V40" s="142"/>
      <c r="W40" s="142"/>
      <c r="X40" s="142"/>
      <c r="AH40" s="67">
        <v>0</v>
      </c>
      <c r="AI40" s="590" t="s">
        <v>718</v>
      </c>
      <c r="AJ40" s="590"/>
      <c r="AK40" s="590"/>
      <c r="AL40" s="70">
        <v>9</v>
      </c>
      <c r="AM40" s="71">
        <v>0.28125</v>
      </c>
      <c r="AN40" s="230"/>
      <c r="AO40" s="230"/>
      <c r="AP40" s="230"/>
      <c r="AQ40" s="259"/>
      <c r="AR40" s="586" t="s">
        <v>563</v>
      </c>
      <c r="AS40" s="586"/>
      <c r="AT40" s="586"/>
      <c r="AU40" s="258">
        <v>3</v>
      </c>
      <c r="AV40" s="71">
        <v>0.10344827586206896</v>
      </c>
      <c r="AW40" s="84"/>
    </row>
    <row r="41" spans="1:65" ht="33" customHeight="1" x14ac:dyDescent="0.25">
      <c r="A41" s="29"/>
      <c r="B41" s="266" t="s">
        <v>233</v>
      </c>
      <c r="C41" s="231" t="s">
        <v>18</v>
      </c>
      <c r="D41" s="267" t="s">
        <v>14</v>
      </c>
      <c r="E41" s="29"/>
      <c r="O41" s="29"/>
      <c r="P41" s="29"/>
      <c r="Q41" s="29"/>
      <c r="R41" s="29"/>
      <c r="S41" s="29"/>
      <c r="T41" s="29"/>
      <c r="U41" s="29"/>
      <c r="V41" s="29"/>
      <c r="W41" s="29"/>
      <c r="X41" s="29"/>
      <c r="AH41" s="67">
        <v>0.33333333333333331</v>
      </c>
      <c r="AI41" s="590" t="s">
        <v>671</v>
      </c>
      <c r="AJ41" s="590"/>
      <c r="AK41" s="590"/>
      <c r="AL41" s="70">
        <v>2</v>
      </c>
      <c r="AM41" s="71">
        <v>6.25E-2</v>
      </c>
      <c r="AN41" s="230"/>
      <c r="AO41" s="230"/>
      <c r="AP41" s="230"/>
      <c r="AQ41" s="259"/>
      <c r="AR41" s="586" t="s">
        <v>666</v>
      </c>
      <c r="AS41" s="586"/>
      <c r="AT41" s="586"/>
      <c r="AU41" s="258">
        <v>2</v>
      </c>
      <c r="AV41" s="71">
        <v>6.8965517241379309E-2</v>
      </c>
      <c r="AW41" s="84"/>
      <c r="BL41" s="31" t="s">
        <v>651</v>
      </c>
      <c r="BM41" s="68">
        <f>1-BM42</f>
        <v>3.0303030303030276E-2</v>
      </c>
    </row>
    <row r="42" spans="1:65" ht="35.450000000000003" customHeight="1" x14ac:dyDescent="0.25">
      <c r="A42" s="29"/>
      <c r="B42" s="266" t="s">
        <v>42</v>
      </c>
      <c r="C42" s="231" t="s">
        <v>18</v>
      </c>
      <c r="D42" s="267" t="s">
        <v>14</v>
      </c>
      <c r="E42" s="29"/>
      <c r="O42" s="29"/>
      <c r="P42" s="29"/>
      <c r="Q42" s="29"/>
      <c r="R42" s="29"/>
      <c r="S42" s="29"/>
      <c r="T42" s="29"/>
      <c r="U42" s="29"/>
      <c r="V42" s="29"/>
      <c r="W42" s="29"/>
      <c r="X42" s="29"/>
      <c r="AH42" s="67">
        <v>0.5</v>
      </c>
      <c r="AI42" s="590" t="s">
        <v>672</v>
      </c>
      <c r="AJ42" s="590"/>
      <c r="AK42" s="590"/>
      <c r="AL42" s="70">
        <v>6</v>
      </c>
      <c r="AM42" s="71">
        <v>0.1875</v>
      </c>
      <c r="AN42" s="230"/>
      <c r="AO42" s="230"/>
      <c r="AP42" s="230"/>
      <c r="AQ42" s="259"/>
      <c r="AR42" s="586" t="s">
        <v>671</v>
      </c>
      <c r="AS42" s="586"/>
      <c r="AT42" s="586"/>
      <c r="AU42" s="258">
        <v>4</v>
      </c>
      <c r="AV42" s="71">
        <v>0.13793103448275862</v>
      </c>
      <c r="AW42" s="84"/>
      <c r="BL42" s="31" t="s">
        <v>568</v>
      </c>
      <c r="BM42" s="68">
        <f>BJ7</f>
        <v>0.96969696969696972</v>
      </c>
    </row>
    <row r="43" spans="1:65" ht="35.450000000000003" customHeight="1" x14ac:dyDescent="0.25">
      <c r="A43" s="29"/>
      <c r="B43" s="266" t="s">
        <v>919</v>
      </c>
      <c r="C43" s="231" t="s">
        <v>18</v>
      </c>
      <c r="D43" s="267" t="s">
        <v>14</v>
      </c>
      <c r="E43" s="29"/>
      <c r="O43" s="29"/>
      <c r="P43" s="29"/>
      <c r="Q43" s="29"/>
      <c r="R43" s="29"/>
      <c r="S43" s="29"/>
      <c r="T43" s="29"/>
      <c r="U43" s="29"/>
      <c r="V43" s="29"/>
      <c r="W43" s="29"/>
      <c r="X43" s="29"/>
      <c r="AH43" s="67">
        <v>0.66666666666666663</v>
      </c>
      <c r="AI43" s="590" t="s">
        <v>673</v>
      </c>
      <c r="AJ43" s="590"/>
      <c r="AK43" s="590"/>
      <c r="AL43" s="70">
        <v>15</v>
      </c>
      <c r="AM43" s="71">
        <v>0.46875</v>
      </c>
      <c r="AN43" s="230"/>
      <c r="AO43" s="230"/>
      <c r="AP43" s="230"/>
      <c r="AQ43" s="259"/>
      <c r="AR43" s="586" t="s">
        <v>672</v>
      </c>
      <c r="AS43" s="586"/>
      <c r="AT43" s="586"/>
      <c r="AU43" s="258">
        <v>6</v>
      </c>
      <c r="AV43" s="71">
        <v>0.20689655172413793</v>
      </c>
    </row>
    <row r="44" spans="1:65" ht="35.450000000000003" customHeight="1" x14ac:dyDescent="0.25">
      <c r="A44" s="29"/>
      <c r="B44" s="266" t="s">
        <v>234</v>
      </c>
      <c r="C44" s="231" t="s">
        <v>18</v>
      </c>
      <c r="D44" s="267" t="s">
        <v>14</v>
      </c>
      <c r="E44" s="29"/>
      <c r="O44" s="29"/>
      <c r="P44" s="29"/>
      <c r="Q44" s="29"/>
      <c r="R44" s="29"/>
      <c r="S44" s="29"/>
      <c r="T44" s="29"/>
      <c r="U44" s="29"/>
      <c r="V44" s="29"/>
      <c r="W44" s="29"/>
      <c r="X44" s="29"/>
      <c r="AH44" s="48"/>
      <c r="AI44" s="591" t="s">
        <v>241</v>
      </c>
      <c r="AJ44" s="591"/>
      <c r="AK44" s="591"/>
      <c r="AL44" s="72">
        <v>32</v>
      </c>
      <c r="AM44" s="73">
        <v>1</v>
      </c>
      <c r="AN44" s="230"/>
      <c r="AO44" s="230"/>
      <c r="AP44" s="230"/>
      <c r="AQ44" s="261"/>
      <c r="AR44" s="586" t="s">
        <v>673</v>
      </c>
      <c r="AS44" s="586"/>
      <c r="AT44" s="586"/>
      <c r="AU44" s="258">
        <v>14</v>
      </c>
      <c r="AV44" s="71">
        <v>0.48275862068965519</v>
      </c>
    </row>
    <row r="45" spans="1:65" ht="35.450000000000003" customHeight="1" x14ac:dyDescent="0.25">
      <c r="A45" s="29"/>
      <c r="B45" s="266" t="s">
        <v>235</v>
      </c>
      <c r="C45" s="231" t="s">
        <v>18</v>
      </c>
      <c r="D45" s="267" t="s">
        <v>14</v>
      </c>
      <c r="E45" s="29"/>
      <c r="O45" s="29"/>
      <c r="P45" s="29"/>
      <c r="Q45" s="29"/>
      <c r="R45" s="29"/>
      <c r="S45" s="29"/>
      <c r="T45" s="29"/>
      <c r="U45" s="29"/>
      <c r="V45" s="29"/>
      <c r="W45" s="29"/>
      <c r="X45" s="29"/>
      <c r="AH45" s="31"/>
      <c r="AI45" s="230"/>
      <c r="AJ45" s="230"/>
      <c r="AK45" s="230"/>
      <c r="AL45" s="230"/>
      <c r="AM45" s="230"/>
      <c r="AN45" s="230"/>
      <c r="AO45" s="230"/>
      <c r="AP45" s="230"/>
      <c r="AQ45" s="230"/>
      <c r="AR45" s="230"/>
      <c r="AS45" s="230" t="s">
        <v>241</v>
      </c>
      <c r="AT45" s="230"/>
      <c r="AU45" s="260">
        <v>29</v>
      </c>
      <c r="AV45" s="71">
        <v>1</v>
      </c>
    </row>
    <row r="46" spans="1:65" ht="35.450000000000003" customHeight="1" x14ac:dyDescent="0.25">
      <c r="A46" s="29"/>
      <c r="B46" s="266" t="s">
        <v>920</v>
      </c>
      <c r="C46" s="231" t="s">
        <v>18</v>
      </c>
      <c r="D46" s="267" t="s">
        <v>14</v>
      </c>
      <c r="E46" s="29"/>
      <c r="O46" s="29"/>
      <c r="P46" s="29"/>
      <c r="Q46" s="29"/>
      <c r="R46" s="29"/>
      <c r="S46" s="29"/>
      <c r="T46" s="29"/>
      <c r="U46" s="29"/>
      <c r="V46" s="29"/>
      <c r="W46" s="29"/>
      <c r="X46" s="29"/>
    </row>
    <row r="47" spans="1:65" ht="35.450000000000003" customHeight="1" x14ac:dyDescent="0.25">
      <c r="A47" s="29"/>
      <c r="B47" s="266" t="s">
        <v>236</v>
      </c>
      <c r="C47" s="231" t="s">
        <v>18</v>
      </c>
      <c r="D47" s="267" t="s">
        <v>14</v>
      </c>
      <c r="E47" s="29"/>
      <c r="O47" s="29"/>
      <c r="P47" s="29"/>
      <c r="Q47" s="29"/>
      <c r="R47" s="29"/>
      <c r="S47" s="29"/>
      <c r="T47" s="29"/>
      <c r="U47" s="29"/>
      <c r="V47" s="29"/>
      <c r="W47" s="29"/>
      <c r="X47" s="29"/>
    </row>
    <row r="48" spans="1:65" ht="35.450000000000003" customHeight="1" x14ac:dyDescent="0.25">
      <c r="A48" s="29"/>
      <c r="B48" s="266" t="s">
        <v>43</v>
      </c>
      <c r="C48" s="231" t="s">
        <v>18</v>
      </c>
      <c r="D48" s="267" t="s">
        <v>14</v>
      </c>
      <c r="E48" s="29"/>
      <c r="O48" s="29"/>
      <c r="P48" s="29"/>
      <c r="Q48" s="29"/>
      <c r="R48" s="29"/>
      <c r="S48" s="29"/>
      <c r="T48" s="29"/>
      <c r="U48" s="29"/>
      <c r="V48" s="29"/>
      <c r="W48" s="29"/>
      <c r="X48" s="29"/>
    </row>
    <row r="49" spans="1:24" ht="35.450000000000003" customHeight="1" x14ac:dyDescent="0.25">
      <c r="A49" s="29"/>
      <c r="B49" s="266" t="s">
        <v>44</v>
      </c>
      <c r="C49" s="231" t="s">
        <v>18</v>
      </c>
      <c r="D49" s="267" t="s">
        <v>14</v>
      </c>
      <c r="E49" s="29"/>
      <c r="O49" s="29"/>
      <c r="P49" s="29"/>
      <c r="Q49" s="29"/>
      <c r="R49" s="29"/>
      <c r="S49" s="29"/>
      <c r="T49" s="29"/>
      <c r="U49" s="29"/>
      <c r="V49" s="29"/>
      <c r="W49" s="29"/>
      <c r="X49" s="29"/>
    </row>
    <row r="50" spans="1:24" ht="35.450000000000003" customHeight="1" x14ac:dyDescent="0.25">
      <c r="B50" s="266" t="s">
        <v>45</v>
      </c>
      <c r="C50" s="231" t="s">
        <v>18</v>
      </c>
      <c r="D50" s="267" t="s">
        <v>14</v>
      </c>
    </row>
    <row r="51" spans="1:24" ht="35.450000000000003" customHeight="1" x14ac:dyDescent="0.25"/>
  </sheetData>
  <mergeCells count="23">
    <mergeCell ref="AI41:AK41"/>
    <mergeCell ref="AI42:AK42"/>
    <mergeCell ref="AI43:AK43"/>
    <mergeCell ref="AI44:AK44"/>
    <mergeCell ref="AA10:AF10"/>
    <mergeCell ref="AJ17:AO17"/>
    <mergeCell ref="AI18:AO18"/>
    <mergeCell ref="AI40:AK40"/>
    <mergeCell ref="AS11:AX11"/>
    <mergeCell ref="AR12:AX12"/>
    <mergeCell ref="BE9:BJ9"/>
    <mergeCell ref="L13:L14"/>
    <mergeCell ref="G13:G14"/>
    <mergeCell ref="H13:H14"/>
    <mergeCell ref="I13:I14"/>
    <mergeCell ref="J13:J14"/>
    <mergeCell ref="K13:K14"/>
    <mergeCell ref="BD10:BJ10"/>
    <mergeCell ref="AR41:AT41"/>
    <mergeCell ref="AR42:AT42"/>
    <mergeCell ref="AR43:AT43"/>
    <mergeCell ref="AR44:AT44"/>
    <mergeCell ref="AR40:AT40"/>
  </mergeCells>
  <printOptions horizontalCentered="1" verticalCentered="1"/>
  <pageMargins left="0.5" right="0.5" top="0.4" bottom="0.4" header="0.3" footer="0.3"/>
  <pageSetup scale="94" fitToHeight="0" orientation="landscape" r:id="rId1"/>
  <rowBreaks count="1" manualBreakCount="1">
    <brk id="18" max="16383" man="1"/>
  </rowBreaks>
  <colBreaks count="5" manualBreakCount="5">
    <brk id="5" max="1048575" man="1"/>
    <brk id="14" max="1048575" man="1"/>
    <brk id="24" max="1048575" man="1"/>
    <brk id="33" max="1048575" man="1"/>
    <brk id="54"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9F82AAAF4B3164C9156CBB0AA42EC94" ma:contentTypeVersion="11" ma:contentTypeDescription="Create a new document." ma:contentTypeScope="" ma:versionID="8cf72c290062f8d5cbb9cee702b50b8d">
  <xsd:schema xmlns:xsd="http://www.w3.org/2001/XMLSchema" xmlns:xs="http://www.w3.org/2001/XMLSchema" xmlns:p="http://schemas.microsoft.com/office/2006/metadata/properties" xmlns:ns3="b94fadbf-bd8a-4ce7-b111-999d7b3f0afa" xmlns:ns4="a5e07491-363c-438a-aa1d-569ae546940a" targetNamespace="http://schemas.microsoft.com/office/2006/metadata/properties" ma:root="true" ma:fieldsID="f4ae649c330b78a343eb2e9def869773" ns3:_="" ns4:_="">
    <xsd:import namespace="b94fadbf-bd8a-4ce7-b111-999d7b3f0afa"/>
    <xsd:import namespace="a5e07491-363c-438a-aa1d-569ae546940a"/>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94fadbf-bd8a-4ce7-b111-999d7b3f0af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5e07491-363c-438a-aa1d-569ae546940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BF96B0F8-A8A7-492C-B337-127F330964DC}">
  <ds:schemaRefs>
    <ds:schemaRef ds:uri="http://purl.org/dc/terms/"/>
    <ds:schemaRef ds:uri="http://schemas.openxmlformats.org/package/2006/metadata/core-properties"/>
    <ds:schemaRef ds:uri="http://purl.org/dc/dcmitype/"/>
    <ds:schemaRef ds:uri="http://schemas.microsoft.com/office/infopath/2007/PartnerControls"/>
    <ds:schemaRef ds:uri="b94fadbf-bd8a-4ce7-b111-999d7b3f0afa"/>
    <ds:schemaRef ds:uri="http://schemas.microsoft.com/office/2006/documentManagement/types"/>
    <ds:schemaRef ds:uri="a5e07491-363c-438a-aa1d-569ae546940a"/>
    <ds:schemaRef ds:uri="http://schemas.microsoft.com/office/2006/metadata/properties"/>
    <ds:schemaRef ds:uri="http://purl.org/dc/elements/1.1/"/>
    <ds:schemaRef ds:uri="http://www.w3.org/XML/1998/namespace"/>
  </ds:schemaRefs>
</ds:datastoreItem>
</file>

<file path=customXml/itemProps2.xml><?xml version="1.0" encoding="utf-8"?>
<ds:datastoreItem xmlns:ds="http://schemas.openxmlformats.org/officeDocument/2006/customXml" ds:itemID="{2726B224-BFFD-469E-8616-09E3CF7514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94fadbf-bd8a-4ce7-b111-999d7b3f0afa"/>
    <ds:schemaRef ds:uri="a5e07491-363c-438a-aa1d-569ae54694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9F1654-110C-44E5-B4C5-7DA3A837C039}">
  <ds:schemaRefs>
    <ds:schemaRef ds:uri="http://schemas.microsoft.com/sharepoint/v3/contenttype/forms"/>
  </ds:schemaRefs>
</ds:datastoreItem>
</file>

<file path=customXml/itemProps4.xml><?xml version="1.0" encoding="utf-8"?>
<ds:datastoreItem xmlns:ds="http://schemas.openxmlformats.org/officeDocument/2006/customXml" ds:itemID="{2EC264E2-B95A-4456-B02D-8C55031EB56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Table of Contents</vt:lpstr>
      <vt:lpstr>Benchmark Summaries</vt:lpstr>
      <vt:lpstr>Pay Rates by Benchmark</vt:lpstr>
      <vt:lpstr>Comparison with 2022</vt:lpstr>
      <vt:lpstr>Pay Plan Types</vt:lpstr>
      <vt:lpstr>Pay Scale Adjustments</vt:lpstr>
      <vt:lpstr>Shift Diff &amp; Call-Back Pay</vt:lpstr>
      <vt:lpstr>Performance &amp; Incentive Pay</vt:lpstr>
      <vt:lpstr>Paid Leave</vt:lpstr>
      <vt:lpstr>Ret and Health Benefits</vt:lpstr>
      <vt:lpstr>Modern Work Environment</vt:lpstr>
      <vt:lpstr>Employee Engagement</vt:lpstr>
      <vt:lpstr>Survey Participants</vt:lpstr>
      <vt:lpstr>'Benchmark Summaries'!Print_Area</vt:lpstr>
      <vt:lpstr>'Comparison with 2022'!Print_Area</vt:lpstr>
      <vt:lpstr>'Employee Engagement'!Print_Area</vt:lpstr>
      <vt:lpstr>'Modern Work Environment'!Print_Area</vt:lpstr>
      <vt:lpstr>'Paid Leave'!Print_Area</vt:lpstr>
      <vt:lpstr>'Pay Rates by Benchmark'!Print_Area</vt:lpstr>
      <vt:lpstr>'Pay Scale Adjustments'!Print_Area</vt:lpstr>
      <vt:lpstr>'Performance &amp; Incentive Pay'!Print_Area</vt:lpstr>
      <vt:lpstr>'Ret and Health Benefits'!Print_Area</vt:lpstr>
      <vt:lpstr>'Shift Diff &amp; Call-Back Pay'!Print_Area</vt:lpstr>
      <vt:lpstr>'Benchmark Summaries'!Print_Titles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Zhu, Yucheng</dc:creator>
  <cp:lastModifiedBy>Kohlhorst, Allie (OFM)</cp:lastModifiedBy>
  <cp:lastPrinted>2022-02-18T02:45:37Z</cp:lastPrinted>
  <dcterms:created xsi:type="dcterms:W3CDTF">2015-06-05T18:17:20Z</dcterms:created>
  <dcterms:modified xsi:type="dcterms:W3CDTF">2024-06-27T17:29:01Z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0x010100B9F82AAAF4B3164C9156CBB0AA42EC94</vt:lpwstr>
  </property>
</Properties>
</file>